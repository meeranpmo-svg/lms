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" sheetId="1" state="visible" r:id="rId3"/>
    <sheet name="Expenses" sheetId="2" state="visible" r:id="rId4"/>
    <sheet name="P&amp;L Summary" sheetId="3" state="visible" r:id="rId5"/>
    <sheet name="Staff &amp; Salari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<sst xmlns="http://schemas.openxmlformats.org/spreadsheetml/2006/main" count="89" uniqueCount="81">
  <si>
    <t xml:space="preserve">ANSA MONTESSORI — ANNUAL REVENUE REPORT</t>
  </si>
  <si>
    <t xml:space="preserve">COURSE-WISE REVENUE PROJECTION (Annual)</t>
  </si>
  <si>
    <t xml:space="preserve">Course</t>
  </si>
  <si>
    <t xml:space="preserve">Fee per Student (₹)</t>
  </si>
  <si>
    <t xml:space="preserve">Duration</t>
  </si>
  <si>
    <t xml:space="preserve">Admissions (Yearly)</t>
  </si>
  <si>
    <t xml:space="preserve">Gross Revenue (₹)</t>
  </si>
  <si>
    <t xml:space="preserve">Exam Fees 20% (₹)</t>
  </si>
  <si>
    <t xml:space="preserve">Net Revenue (₹)</t>
  </si>
  <si>
    <t xml:space="preserve">Spoken English</t>
  </si>
  <si>
    <t xml:space="preserve">3 Months</t>
  </si>
  <si>
    <t xml:space="preserve">Phonics</t>
  </si>
  <si>
    <t xml:space="preserve">Child Psychology</t>
  </si>
  <si>
    <t xml:space="preserve">B.Ed (Distance)</t>
  </si>
  <si>
    <t xml:space="preserve">1 Year</t>
  </si>
  <si>
    <t xml:space="preserve">B.Ed (Regular)</t>
  </si>
  <si>
    <t xml:space="preserve">2 Years</t>
  </si>
  <si>
    <t xml:space="preserve">Montessori &amp; Primary Diploma</t>
  </si>
  <si>
    <t xml:space="preserve">6 Months</t>
  </si>
  <si>
    <t xml:space="preserve">Special Needs Education</t>
  </si>
  <si>
    <t xml:space="preserve">Digital Marketing</t>
  </si>
  <si>
    <t xml:space="preserve">TOTAL</t>
  </si>
  <si>
    <t xml:space="preserve">ANSA MONTESSORI — ANNUAL EXPENSE REPORT</t>
  </si>
  <si>
    <t xml:space="preserve">EXPENSE BREAKDOWN</t>
  </si>
  <si>
    <t xml:space="preserve">Expense Item</t>
  </si>
  <si>
    <t xml:space="preserve">Monthly (₹)</t>
  </si>
  <si>
    <t xml:space="preserve">Annual (₹)</t>
  </si>
  <si>
    <t xml:space="preserve">Notes</t>
  </si>
  <si>
    <t xml:space="preserve">Teachers Salaries (10 × ₹10,000)</t>
  </si>
  <si>
    <t xml:space="preserve">10 teachers @ ₹10,000/month</t>
  </si>
  <si>
    <t xml:space="preserve">Tele Callers (2 × ₹10,000)</t>
  </si>
  <si>
    <t xml:space="preserve">2 staff @ ₹10,000/month</t>
  </si>
  <si>
    <t xml:space="preserve">Advertisement</t>
  </si>
  <si>
    <t xml:space="preserve">Monthly marketing spend</t>
  </si>
  <si>
    <t xml:space="preserve">Technology Subscription</t>
  </si>
  <si>
    <t xml:space="preserve">LMS, tools &amp; platforms</t>
  </si>
  <si>
    <t xml:space="preserve">Book Printing</t>
  </si>
  <si>
    <t xml:space="preserve">-</t>
  </si>
  <si>
    <t xml:space="preserve">One-time yearly print run</t>
  </si>
  <si>
    <t xml:space="preserve">Exam Fees (20% of Gross Revenue)</t>
  </si>
  <si>
    <t xml:space="preserve">Linked from Revenue sheet</t>
  </si>
  <si>
    <t xml:space="preserve">Rent</t>
  </si>
  <si>
    <t xml:space="preserve">Annual office/campus rent</t>
  </si>
  <si>
    <t xml:space="preserve">Transport &amp; Miscellaneous</t>
  </si>
  <si>
    <t xml:space="preserve">Yearly estimate</t>
  </si>
  <si>
    <t xml:space="preserve">TOTAL ANNUAL EXPENSES</t>
  </si>
  <si>
    <t xml:space="preserve">ANSA MONTESSORI — PROFIT &amp; LOSS SUMMARY</t>
  </si>
  <si>
    <t xml:space="preserve">ANNUAL P&amp;L AT A GLANCE</t>
  </si>
  <si>
    <t xml:space="preserve">Description</t>
  </si>
  <si>
    <t xml:space="preserve">Amount (₹)</t>
  </si>
  <si>
    <t xml:space="preserve">Remarks</t>
  </si>
  <si>
    <t xml:space="preserve">REVENUE</t>
  </si>
  <si>
    <t xml:space="preserve">Gross Revenue</t>
  </si>
  <si>
    <t xml:space="preserve">Sum of all course fees</t>
  </si>
  <si>
    <t xml:space="preserve">Less: Exam Fees (20%)</t>
  </si>
  <si>
    <t xml:space="preserve">20% deducted as exam fees</t>
  </si>
  <si>
    <t xml:space="preserve">Net Revenue</t>
  </si>
  <si>
    <t xml:space="preserve">Net Revenue after exam fee deduction</t>
  </si>
  <si>
    <t xml:space="preserve">EXPENSES</t>
  </si>
  <si>
    <t xml:space="preserve">Total Annual Expenses</t>
  </si>
  <si>
    <t xml:space="preserve">Salaries + Ops + Rent + Books etc.</t>
  </si>
  <si>
    <t xml:space="preserve">NET PROFIT / (LOSS)</t>
  </si>
  <si>
    <t xml:space="preserve">Net Revenue minus Total Expenses</t>
  </si>
  <si>
    <t xml:space="preserve">Profit Margin (%)</t>
  </si>
  <si>
    <t xml:space="preserve">Net Profit as % of Net Revenue</t>
  </si>
  <si>
    <t xml:space="preserve">ANSA MONTESSORI — STAFF &amp; SALARY PLAN</t>
  </si>
  <si>
    <t xml:space="preserve">RECOMMENDED TEACHER DEPLOYMENT</t>
  </si>
  <si>
    <t xml:space="preserve">Role / Course Assigned</t>
  </si>
  <si>
    <t xml:space="preserve">Monthly Salary (₹)</t>
  </si>
  <si>
    <t xml:space="preserve">Count</t>
  </si>
  <si>
    <t xml:space="preserve">Total Monthly (₹)</t>
  </si>
  <si>
    <t xml:space="preserve">Annual Cost (₹)</t>
  </si>
  <si>
    <t xml:space="preserve">Spoken English Teacher</t>
  </si>
  <si>
    <t xml:space="preserve">Phonics Teacher</t>
  </si>
  <si>
    <t xml:space="preserve">Child Psychology Instructor</t>
  </si>
  <si>
    <t xml:space="preserve">B.Ed / Teacher Training Faculty</t>
  </si>
  <si>
    <t xml:space="preserve">Montessori &amp; Primary Diploma Trainer</t>
  </si>
  <si>
    <t xml:space="preserve">Special Needs Education Specialist</t>
  </si>
  <si>
    <t xml:space="preserve">Digital Marketing Trainer</t>
  </si>
  <si>
    <t xml:space="preserve">Tele Caller 1</t>
  </si>
  <si>
    <t xml:space="preserve">Tele Caller 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</si>
</sst>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₹#,##0;&quot;(₹&quot;#,##0\);\-"/>
    <numFmt numFmtId="166" formatCode="#,##0"/>
    <numFmt numFmtId="167" formatCode="@"/>
    <numFmt numFmtId="168" formatCode="0.0%;\(0.0%\);\-"/>
    <numFmt numFmtId="169" formatCode="\₹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i val="true"/>
      <sz val="10"/>
      <color rgb="FF546E7A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B71C1C"/>
      <name val="Arial"/>
      <family val="0"/>
      <charset val="1"/>
    </font>
    <font>
      <b val="true"/>
      <sz val="10"/>
      <color rgb="FF263238"/>
      <name val="Arial"/>
      <family val="0"/>
      <charset val="1"/>
    </font>
    <font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2E7D32"/>
        <bgColor rgb="FF1B5E20"/>
      </patternFill>
    </fill>
    <fill>
      <patternFill patternType="solid">
        <fgColor rgb="FF546E7A"/>
        <bgColor rgb="FF808080"/>
      </patternFill>
    </fill>
    <fill>
      <patternFill patternType="solid">
        <fgColor rgb="FFE8F5E9"/>
        <bgColor rgb="FFFFFFFF"/>
      </patternFill>
    </fill>
    <fill>
      <patternFill patternType="solid">
        <fgColor rgb="FFFFFFFF"/>
        <bgColor rgb="FFE8F5E9"/>
      </patternFill>
    </fill>
    <fill>
      <patternFill patternType="solid">
        <fgColor rgb="FFC8E6C9"/>
        <bgColor rgb="FFE8F5E9"/>
      </patternFill>
    </fill>
    <fill>
      <patternFill patternType="solid">
        <fgColor rgb="FFF9A825"/>
        <bgColor rgb="FFFFCC00"/>
      </patternFill>
    </fill>
    <fill>
      <patternFill patternType="solid">
        <fgColor rgb="FFFFF9C4"/>
        <bgColor rgb="FFFFFF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1B5E20"/>
      </left>
      <right/>
      <top style="medium">
        <color rgb="FF1B5E20"/>
      </top>
      <bottom style="medium">
        <color rgb="FF1B5E20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9A825"/>
      <rgbColor rgb="FFFF6600"/>
      <rgbColor rgb="FF546E7A"/>
      <rgbColor rgb="FF969696"/>
      <rgbColor rgb="FF003366"/>
      <rgbColor rgb="FF2E7D32"/>
      <rgbColor rgb="FF003300"/>
      <rgbColor rgb="FF1B5E20"/>
      <rgbColor rgb="FFB71C1C"/>
      <rgbColor rgb="FF993366"/>
      <rgbColor rgb="FF333399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7" min="4" style="1" width="14"/>
  </cols>
  <sheetData>
    <row r="1" customFormat="false" ht="4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/>
    <row r="3" customFormat="false" ht="15" hidden="false" customHeight="true" outlineLevel="0" collapsed="false">
      <c r="A3" s="3" t="s">
        <v>1</v>
      </c>
      <c r="B3" s="3"/>
      <c r="C3" s="3"/>
      <c r="D3" s="3"/>
      <c r="E3" s="3"/>
      <c r="F3" s="3"/>
      <c r="G3" s="3"/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true" outlineLevel="0" collapsed="false">
      <c r="A5" s="5" t="s">
        <v>9</v>
      </c>
      <c r="B5" s="6" t="n">
        <v>4000</v>
      </c>
      <c r="C5" s="7" t="s">
        <v>10</v>
      </c>
      <c r="D5" s="6" t="n">
        <v>100</v>
      </c>
      <c r="E5" s="6" t="n">
        <f aca="false">B5*D5</f>
        <v>400000</v>
      </c>
      <c r="F5" s="6" t="n">
        <f aca="false">E5*0.2</f>
        <v>80000</v>
      </c>
      <c r="G5" s="6" t="n">
        <f aca="false">E5-F5</f>
        <v>320000</v>
      </c>
    </row>
    <row r="6" customFormat="false" ht="15" hidden="false" customHeight="true" outlineLevel="0" collapsed="false">
      <c r="A6" s="8" t="s">
        <v>11</v>
      </c>
      <c r="B6" s="9" t="n">
        <v>4000</v>
      </c>
      <c r="C6" s="10" t="s">
        <v>10</v>
      </c>
      <c r="D6" s="9" t="n">
        <v>100</v>
      </c>
      <c r="E6" s="9" t="n">
        <f aca="false">B6*D6</f>
        <v>400000</v>
      </c>
      <c r="F6" s="9" t="n">
        <f aca="false">E6*0.2</f>
        <v>80000</v>
      </c>
      <c r="G6" s="9" t="n">
        <f aca="false">E6-F6</f>
        <v>320000</v>
      </c>
    </row>
    <row r="7" customFormat="false" ht="15" hidden="false" customHeight="true" outlineLevel="0" collapsed="false">
      <c r="A7" s="5" t="s">
        <v>12</v>
      </c>
      <c r="B7" s="6" t="n">
        <v>6000</v>
      </c>
      <c r="C7" s="7" t="s">
        <v>10</v>
      </c>
      <c r="D7" s="6" t="n">
        <v>50</v>
      </c>
      <c r="E7" s="6" t="n">
        <f aca="false">B7*D7</f>
        <v>300000</v>
      </c>
      <c r="F7" s="6" t="n">
        <f aca="false">E7*0.2</f>
        <v>60000</v>
      </c>
      <c r="G7" s="6" t="n">
        <f aca="false">E7-F7</f>
        <v>240000</v>
      </c>
    </row>
    <row r="8" customFormat="false" ht="15" hidden="false" customHeight="true" outlineLevel="0" collapsed="false">
      <c r="A8" s="8" t="s">
        <v>13</v>
      </c>
      <c r="B8" s="9" t="n">
        <v>45000</v>
      </c>
      <c r="C8" s="10" t="s">
        <v>14</v>
      </c>
      <c r="D8" s="9" t="n">
        <v>20</v>
      </c>
      <c r="E8" s="9" t="n">
        <f aca="false">B8*D8</f>
        <v>900000</v>
      </c>
      <c r="F8" s="9" t="n">
        <f aca="false">E8*0.2</f>
        <v>180000</v>
      </c>
      <c r="G8" s="9" t="n">
        <f aca="false">E8-F8</f>
        <v>720000</v>
      </c>
    </row>
    <row r="9" customFormat="false" ht="15" hidden="false" customHeight="true" outlineLevel="0" collapsed="false">
      <c r="A9" s="5" t="s">
        <v>15</v>
      </c>
      <c r="B9" s="6" t="n">
        <v>120000</v>
      </c>
      <c r="C9" s="7" t="s">
        <v>16</v>
      </c>
      <c r="D9" s="6" t="n">
        <v>20</v>
      </c>
      <c r="E9" s="6" t="n">
        <f aca="false">B9*D9</f>
        <v>2400000</v>
      </c>
      <c r="F9" s="6" t="n">
        <f aca="false">E9*0.2</f>
        <v>480000</v>
      </c>
      <c r="G9" s="6" t="n">
        <f aca="false">E9-F9</f>
        <v>1920000</v>
      </c>
    </row>
    <row r="10" customFormat="false" ht="15" hidden="false" customHeight="true" outlineLevel="0" collapsed="false">
      <c r="A10" s="8" t="s">
        <v>17</v>
      </c>
      <c r="B10" s="9" t="n">
        <v>25000</v>
      </c>
      <c r="C10" s="10" t="s">
        <v>18</v>
      </c>
      <c r="D10" s="9" t="n">
        <v>100</v>
      </c>
      <c r="E10" s="9" t="n">
        <f aca="false">B10*D10</f>
        <v>2500000</v>
      </c>
      <c r="F10" s="9" t="n">
        <f aca="false">E10*0.2</f>
        <v>500000</v>
      </c>
      <c r="G10" s="9" t="n">
        <f aca="false">E10-F10</f>
        <v>2000000</v>
      </c>
    </row>
    <row r="11" customFormat="false" ht="15" hidden="false" customHeight="true" outlineLevel="0" collapsed="false">
      <c r="A11" s="5" t="s">
        <v>19</v>
      </c>
      <c r="B11" s="6" t="n">
        <v>9000</v>
      </c>
      <c r="C11" s="7" t="s">
        <v>18</v>
      </c>
      <c r="D11" s="6" t="n">
        <v>50</v>
      </c>
      <c r="E11" s="6" t="n">
        <f aca="false">B11*D11</f>
        <v>450000</v>
      </c>
      <c r="F11" s="6" t="n">
        <f aca="false">E11*0.2</f>
        <v>90000</v>
      </c>
      <c r="G11" s="6" t="n">
        <f aca="false">E11-F11</f>
        <v>360000</v>
      </c>
    </row>
    <row r="12" customFormat="false" ht="15" hidden="false" customHeight="true" outlineLevel="0" collapsed="false">
      <c r="A12" s="8" t="s">
        <v>20</v>
      </c>
      <c r="B12" s="9" t="n">
        <v>15000</v>
      </c>
      <c r="C12" s="10" t="s">
        <v>10</v>
      </c>
      <c r="D12" s="9" t="n">
        <v>20</v>
      </c>
      <c r="E12" s="9" t="n">
        <f aca="false">B12*D12</f>
        <v>300000</v>
      </c>
      <c r="F12" s="9" t="n">
        <f aca="false">E12*0.2</f>
        <v>60000</v>
      </c>
      <c r="G12" s="9" t="n">
        <f aca="false">E12-F12</f>
        <v>240000</v>
      </c>
    </row>
    <row r="13" customFormat="false" ht="21.75" hidden="false" customHeight="true" outlineLevel="0" collapsed="false">
      <c r="A13" s="11" t="s">
        <v>21</v>
      </c>
      <c r="B13" s="12"/>
      <c r="C13" s="12"/>
      <c r="D13" s="13" t="n">
        <f aca="false">SUM(D5:D12)</f>
        <v>460</v>
      </c>
      <c r="E13" s="14" t="n">
        <f aca="false">SUM(E5:E12)</f>
        <v>7650000</v>
      </c>
      <c r="F13" s="14" t="n">
        <f aca="false">SUM(F5:F12)</f>
        <v>1530000</v>
      </c>
      <c r="G13" s="14" t="n">
        <f aca="false">SUM(G5:G12)</f>
        <v>6120000</v>
      </c>
    </row>
  </sheetData>
  <mergeCells count="2">
    <mergeCell ref="A1:G1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20"/>
  </cols>
  <sheetData>
    <row r="1" customFormat="false" ht="49.5" hidden="false" customHeight="true" outlineLevel="0" collapsed="false">
      <c r="A1" s="2" t="s">
        <v>22</v>
      </c>
      <c r="B1" s="2"/>
      <c r="C1" s="2"/>
      <c r="D1" s="2"/>
    </row>
    <row r="3" customFormat="false" ht="15" hidden="false" customHeight="true" outlineLevel="0" collapsed="false">
      <c r="A3" s="3" t="s">
        <v>23</v>
      </c>
      <c r="B3" s="3"/>
      <c r="C3" s="3"/>
      <c r="D3" s="3"/>
    </row>
    <row r="4" customFormat="false" ht="27.75" hidden="false" customHeight="true" outlineLevel="0" collapsed="false">
      <c r="A4" s="15" t="s">
        <v>24</v>
      </c>
      <c r="B4" s="15" t="s">
        <v>25</v>
      </c>
      <c r="C4" s="15" t="s">
        <v>26</v>
      </c>
      <c r="D4" s="15" t="s">
        <v>27</v>
      </c>
    </row>
    <row r="5" customFormat="false" ht="15" hidden="false" customHeight="true" outlineLevel="0" collapsed="false">
      <c r="A5" s="5" t="s">
        <v>28</v>
      </c>
      <c r="B5" s="6" t="n">
        <v>100000</v>
      </c>
      <c r="C5" s="6" t="n">
        <f aca="false">B5*12</f>
        <v>1200000</v>
      </c>
      <c r="D5" s="16" t="s">
        <v>29</v>
      </c>
    </row>
    <row r="6" customFormat="false" ht="15" hidden="false" customHeight="true" outlineLevel="0" collapsed="false">
      <c r="A6" s="8" t="s">
        <v>30</v>
      </c>
      <c r="B6" s="9" t="n">
        <v>20000</v>
      </c>
      <c r="C6" s="9" t="n">
        <f aca="false">B6*12</f>
        <v>240000</v>
      </c>
      <c r="D6" s="17" t="s">
        <v>31</v>
      </c>
    </row>
    <row r="7" customFormat="false" ht="15" hidden="false" customHeight="true" outlineLevel="0" collapsed="false">
      <c r="A7" s="5" t="s">
        <v>32</v>
      </c>
      <c r="B7" s="6" t="n">
        <v>20000</v>
      </c>
      <c r="C7" s="6" t="n">
        <f aca="false">B7*12</f>
        <v>240000</v>
      </c>
      <c r="D7" s="16" t="s">
        <v>33</v>
      </c>
    </row>
    <row r="8" customFormat="false" ht="15" hidden="false" customHeight="true" outlineLevel="0" collapsed="false">
      <c r="A8" s="8" t="s">
        <v>34</v>
      </c>
      <c r="B8" s="9" t="n">
        <v>30000</v>
      </c>
      <c r="C8" s="9" t="n">
        <f aca="false">B8*12</f>
        <v>360000</v>
      </c>
      <c r="D8" s="17" t="s">
        <v>35</v>
      </c>
    </row>
    <row r="9" customFormat="false" ht="15" hidden="false" customHeight="true" outlineLevel="0" collapsed="false">
      <c r="A9" s="5" t="s">
        <v>36</v>
      </c>
      <c r="B9" s="18" t="s">
        <v>37</v>
      </c>
      <c r="C9" s="6" t="n">
        <v>200000</v>
      </c>
      <c r="D9" s="16" t="s">
        <v>38</v>
      </c>
    </row>
    <row r="10" customFormat="false" ht="15" hidden="false" customHeight="true" outlineLevel="0" collapsed="false">
      <c r="A10" s="8" t="s">
        <v>39</v>
      </c>
      <c r="B10" s="19" t="s">
        <v>37</v>
      </c>
      <c r="C10" s="20" t="n">
        <f aca="false">Revenue!F13</f>
        <v>1530000</v>
      </c>
      <c r="D10" s="17" t="s">
        <v>40</v>
      </c>
    </row>
    <row r="11" customFormat="false" ht="15" hidden="false" customHeight="true" outlineLevel="0" collapsed="false">
      <c r="A11" s="5" t="s">
        <v>41</v>
      </c>
      <c r="B11" s="18" t="s">
        <v>37</v>
      </c>
      <c r="C11" s="6" t="n">
        <v>300000</v>
      </c>
      <c r="D11" s="16" t="s">
        <v>42</v>
      </c>
    </row>
    <row r="12" customFormat="false" ht="15" hidden="false" customHeight="true" outlineLevel="0" collapsed="false">
      <c r="A12" s="8" t="s">
        <v>43</v>
      </c>
      <c r="B12" s="19" t="s">
        <v>37</v>
      </c>
      <c r="C12" s="9" t="n">
        <v>100000</v>
      </c>
      <c r="D12" s="17" t="s">
        <v>44</v>
      </c>
    </row>
    <row r="13" customFormat="false" ht="21.75" hidden="false" customHeight="true" outlineLevel="0" collapsed="false">
      <c r="A13" s="11" t="s">
        <v>45</v>
      </c>
      <c r="B13" s="12"/>
      <c r="C13" s="14" t="n">
        <f aca="false">SUM(C5:C12)</f>
        <v>4170000</v>
      </c>
      <c r="D13" s="12"/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22"/>
  </cols>
  <sheetData>
    <row r="1" customFormat="false" ht="49.5" hidden="false" customHeight="true" outlineLevel="0" collapsed="false">
      <c r="A1" s="2" t="s">
        <v>46</v>
      </c>
      <c r="B1" s="2"/>
      <c r="C1" s="2"/>
    </row>
    <row r="3" customFormat="false" ht="15" hidden="false" customHeight="true" outlineLevel="0" collapsed="false">
      <c r="A3" s="3" t="s">
        <v>47</v>
      </c>
      <c r="B3" s="3"/>
      <c r="C3" s="3"/>
    </row>
    <row r="4" customFormat="false" ht="27.75" hidden="false" customHeight="true" outlineLevel="0" collapsed="false">
      <c r="A4" s="15" t="s">
        <v>48</v>
      </c>
      <c r="B4" s="15" t="s">
        <v>49</v>
      </c>
      <c r="C4" s="15" t="s">
        <v>50</v>
      </c>
    </row>
    <row r="5" customFormat="false" ht="15" hidden="false" customHeight="true" outlineLevel="0" collapsed="false">
      <c r="A5" s="21" t="s">
        <v>51</v>
      </c>
      <c r="B5" s="22"/>
      <c r="C5" s="23"/>
    </row>
    <row r="6" customFormat="false" ht="15" hidden="false" customHeight="true" outlineLevel="0" collapsed="false">
      <c r="A6" s="5" t="s">
        <v>52</v>
      </c>
      <c r="B6" s="6" t="n">
        <f aca="false">Revenue!E13</f>
        <v>7650000</v>
      </c>
      <c r="C6" s="16" t="s">
        <v>53</v>
      </c>
    </row>
    <row r="7" customFormat="false" ht="15" hidden="false" customHeight="true" outlineLevel="0" collapsed="false">
      <c r="A7" s="24" t="s">
        <v>54</v>
      </c>
      <c r="B7" s="25" t="n">
        <f aca="false">Revenue!F13</f>
        <v>1530000</v>
      </c>
      <c r="C7" s="17" t="s">
        <v>55</v>
      </c>
    </row>
    <row r="8" customFormat="false" ht="15" hidden="false" customHeight="true" outlineLevel="0" collapsed="false">
      <c r="A8" s="26" t="s">
        <v>56</v>
      </c>
      <c r="B8" s="27" t="n">
        <f aca="false">Revenue!G13</f>
        <v>6120000</v>
      </c>
      <c r="C8" s="28" t="s">
        <v>57</v>
      </c>
    </row>
    <row r="9" customFormat="false" ht="15" hidden="false" customHeight="true" outlineLevel="0" collapsed="false">
      <c r="A9" s="8"/>
      <c r="B9" s="29"/>
      <c r="C9" s="17"/>
    </row>
    <row r="10" customFormat="false" ht="15" hidden="false" customHeight="true" outlineLevel="0" collapsed="false">
      <c r="A10" s="21" t="s">
        <v>58</v>
      </c>
      <c r="B10" s="22"/>
      <c r="C10" s="23"/>
    </row>
    <row r="11" customFormat="false" ht="15" hidden="false" customHeight="true" outlineLevel="0" collapsed="false">
      <c r="A11" s="24" t="s">
        <v>59</v>
      </c>
      <c r="B11" s="25" t="n">
        <f aca="false">Expenses!C13</f>
        <v>4170000</v>
      </c>
      <c r="C11" s="17" t="s">
        <v>60</v>
      </c>
    </row>
    <row r="12" customFormat="false" ht="15" hidden="false" customHeight="true" outlineLevel="0" collapsed="false">
      <c r="A12" s="8"/>
      <c r="B12" s="29"/>
      <c r="C12" s="17"/>
    </row>
    <row r="13" customFormat="false" ht="15" hidden="false" customHeight="true" outlineLevel="0" collapsed="false">
      <c r="A13" s="30" t="s">
        <v>61</v>
      </c>
      <c r="B13" s="31" t="n">
        <f aca="false">B8-B11</f>
        <v>1950000</v>
      </c>
      <c r="C13" s="32" t="s">
        <v>62</v>
      </c>
    </row>
    <row r="14" customFormat="false" ht="15" hidden="false" customHeight="true" outlineLevel="0" collapsed="false">
      <c r="A14" s="33" t="s">
        <v>63</v>
      </c>
      <c r="B14" s="34" t="n">
        <f aca="false">IF(B8&gt;0,B13/B8,0)</f>
        <v>0.318627450980392</v>
      </c>
      <c r="C14" s="35" t="s">
        <v>64</v>
      </c>
    </row>
  </sheetData>
  <mergeCells count="2">
    <mergeCell ref="A1:C1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8"/>
  </cols>
  <sheetData>
    <row r="1" customFormat="false" ht="49.5" hidden="false" customHeight="true" outlineLevel="0" collapsed="false">
      <c r="A1" s="2" t="s">
        <v>65</v>
      </c>
      <c r="B1" s="2"/>
      <c r="C1" s="2"/>
      <c r="D1" s="2"/>
      <c r="E1" s="2"/>
    </row>
    <row r="3" customFormat="false" ht="15" hidden="false" customHeight="true" outlineLevel="0" collapsed="false">
      <c r="A3" s="3" t="s">
        <v>66</v>
      </c>
      <c r="B3" s="3"/>
      <c r="C3" s="3"/>
      <c r="D3" s="3"/>
      <c r="E3" s="3"/>
    </row>
    <row r="4" customFormat="false" ht="30" hidden="false" customHeight="true" outlineLevel="0" collapsed="false">
      <c r="A4" s="4" t="s">
        <v>67</v>
      </c>
      <c r="B4" s="4" t="s">
        <v>68</v>
      </c>
      <c r="C4" s="4" t="s">
        <v>69</v>
      </c>
      <c r="D4" s="4" t="s">
        <v>70</v>
      </c>
      <c r="E4" s="4" t="s">
        <v>71</v>
      </c>
    </row>
    <row r="5" customFormat="false" ht="15" hidden="false" customHeight="true" outlineLevel="0" collapsed="false">
      <c r="A5" s="5" t="s">
        <v>72</v>
      </c>
      <c r="B5" s="6" t="n">
        <v>10000</v>
      </c>
      <c r="C5" s="6" t="n">
        <v>2</v>
      </c>
      <c r="D5" s="36" t="n">
        <f aca="false">B5*C5</f>
        <v>20000</v>
      </c>
      <c r="E5" s="36" t="n">
        <f aca="false">D5*12</f>
        <v>240000</v>
      </c>
    </row>
    <row r="6" customFormat="false" ht="15" hidden="false" customHeight="true" outlineLevel="0" collapsed="false">
      <c r="A6" s="8" t="s">
        <v>73</v>
      </c>
      <c r="B6" s="9" t="n">
        <v>10000</v>
      </c>
      <c r="C6" s="9" t="n">
        <v>1</v>
      </c>
      <c r="D6" s="37" t="n">
        <f aca="false">B6*C6</f>
        <v>10000</v>
      </c>
      <c r="E6" s="37" t="n">
        <f aca="false">D6*12</f>
        <v>120000</v>
      </c>
    </row>
    <row r="7" customFormat="false" ht="15" hidden="false" customHeight="true" outlineLevel="0" collapsed="false">
      <c r="A7" s="5" t="s">
        <v>74</v>
      </c>
      <c r="B7" s="6" t="n">
        <v>10000</v>
      </c>
      <c r="C7" s="6" t="n">
        <v>1</v>
      </c>
      <c r="D7" s="36" t="n">
        <f aca="false">B7*C7</f>
        <v>10000</v>
      </c>
      <c r="E7" s="36" t="n">
        <f aca="false">D7*12</f>
        <v>120000</v>
      </c>
    </row>
    <row r="8" customFormat="false" ht="15" hidden="false" customHeight="true" outlineLevel="0" collapsed="false">
      <c r="A8" s="8" t="s">
        <v>75</v>
      </c>
      <c r="B8" s="9" t="n">
        <v>10000</v>
      </c>
      <c r="C8" s="9" t="n">
        <v>2</v>
      </c>
      <c r="D8" s="37" t="n">
        <f aca="false">B8*C8</f>
        <v>20000</v>
      </c>
      <c r="E8" s="37" t="n">
        <f aca="false">D8*12</f>
        <v>240000</v>
      </c>
    </row>
    <row r="9" customFormat="false" ht="15" hidden="false" customHeight="true" outlineLevel="0" collapsed="false">
      <c r="A9" s="5" t="s">
        <v>76</v>
      </c>
      <c r="B9" s="6" t="n">
        <v>10000</v>
      </c>
      <c r="C9" s="6" t="n">
        <v>2</v>
      </c>
      <c r="D9" s="36" t="n">
        <f aca="false">B9*C9</f>
        <v>20000</v>
      </c>
      <c r="E9" s="36" t="n">
        <f aca="false">D9*12</f>
        <v>240000</v>
      </c>
    </row>
    <row r="10" customFormat="false" ht="15" hidden="false" customHeight="true" outlineLevel="0" collapsed="false">
      <c r="A10" s="8" t="s">
        <v>77</v>
      </c>
      <c r="B10" s="9" t="n">
        <v>10000</v>
      </c>
      <c r="C10" s="9" t="n">
        <v>1</v>
      </c>
      <c r="D10" s="37" t="n">
        <f aca="false">B10*C10</f>
        <v>10000</v>
      </c>
      <c r="E10" s="37" t="n">
        <f aca="false">D10*12</f>
        <v>120000</v>
      </c>
    </row>
    <row r="11" customFormat="false" ht="15" hidden="false" customHeight="true" outlineLevel="0" collapsed="false">
      <c r="A11" s="5" t="s">
        <v>78</v>
      </c>
      <c r="B11" s="6" t="n">
        <v>10000</v>
      </c>
      <c r="C11" s="6" t="n">
        <v>1</v>
      </c>
      <c r="D11" s="36" t="n">
        <f aca="false">B11*C11</f>
        <v>10000</v>
      </c>
      <c r="E11" s="36" t="n">
        <f aca="false">D11*12</f>
        <v>120000</v>
      </c>
    </row>
    <row r="12" customFormat="false" ht="15" hidden="false" customHeight="true" outlineLevel="0" collapsed="false">
      <c r="A12" s="8" t="s">
        <v>79</v>
      </c>
      <c r="B12" s="9" t="n">
        <v>10000</v>
      </c>
      <c r="C12" s="9" t="n">
        <v>1</v>
      </c>
      <c r="D12" s="37" t="n">
        <f aca="false">B12*C12</f>
        <v>10000</v>
      </c>
      <c r="E12" s="37" t="n">
        <f aca="false">D12*12</f>
        <v>120000</v>
      </c>
    </row>
    <row r="13" customFormat="false" ht="15" hidden="false" customHeight="true" outlineLevel="0" collapsed="false">
      <c r="A13" s="5" t="s">
        <v>80</v>
      </c>
      <c r="B13" s="6" t="n">
        <v>10000</v>
      </c>
      <c r="C13" s="6" t="n">
        <v>1</v>
      </c>
      <c r="D13" s="36" t="n">
        <f aca="false">B13*C13</f>
        <v>10000</v>
      </c>
      <c r="E13" s="36" t="n">
        <f aca="false">D13*12</f>
        <v>120000</v>
      </c>
    </row>
    <row r="14" customFormat="false" ht="21.75" hidden="false" customHeight="true" outlineLevel="0" collapsed="false">
      <c r="A14" s="11" t="s">
        <v>21</v>
      </c>
      <c r="B14" s="12"/>
      <c r="C14" s="13" t="n">
        <f aca="false">SUM(C5:C13)</f>
        <v>12</v>
      </c>
      <c r="D14" s="38" t="n">
        <f aca="false">SUM(D5:D13)</f>
        <v>120000</v>
      </c>
      <c r="E14" s="38" t="n">
        <f aca="false">SUM(E5:E13)</f>
        <v>1440000</v>
      </c>
    </row>
  </sheetData>
  <mergeCells count="2">
    <mergeCell ref="A1:E1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2026-03-08T13:00:28Z</dcterms:created>
  <dc:creator>openpyxl</dc:creator>
  <dc:description/>
  <dc:language>en-US</dc:language>
  <cp:lastModifiedBy/>
  <dcterms:modified xsi:type="dcterms:W3CDTF">2026-03-08T13:00:56Z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