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" sheetId="2" state="visible" r:id="rId4"/>
    <sheet name="Expenses" sheetId="3" state="visible" r:id="rId5"/>
    <sheet name="P&amp;L Summary" sheetId="4" state="visible" r:id="rId6"/>
    <sheet name="Staff &amp; Salaries" sheetId="5" state="visible" r:id="rId7"/>
    <sheet name="Course Profitability" sheetId="6" state="visible" r:id="rId8"/>
    <sheet name="Monthly Cash Flow" sheetId="7" state="visible" r:id="rId9"/>
    <sheet name="Break-Even Analysis" sheetId="8" state="visible" r:id="rId10"/>
    <sheet name="3-Year Projection" sheetId="9" state="visible" r:id="rId11"/>
    <sheet name="Franchise Model" sheetId="10" state="visible" r:id="rId12"/>
    <sheet name="Fee Collection Tracker" sheetId="11" state="visible" r:id="rId13"/>
    <sheet name="Enrollment Funnel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<sst xmlns="http://schemas.openxmlformats.org/spreadsheetml/2006/main" count="419" uniqueCount="310">
  <si>
    <t xml:space="preserve">ANSA MONTESSORI TEACHER TRAINING INSTITUTE — FINANCIAL DASHBOARD</t>
  </si>
  <si>
    <t xml:space="preserve">Powered by Inspireway Education Services Pvt Ltd  |  Annual Financial Report</t>
  </si>
  <si>
    <t xml:space="preserve">GROSS REVENUE</t>
  </si>
  <si>
    <t xml:space="preserve">NET REVENUE</t>
  </si>
  <si>
    <t xml:space="preserve">TOTAL EXPENSES</t>
  </si>
  <si>
    <t xml:space="preserve">NET PROFIT</t>
  </si>
  <si>
    <t xml:space="preserve">PROFIT MARGIN</t>
  </si>
  <si>
    <t xml:space="preserve">COURSE-WISE REVENUE SUMMARY</t>
  </si>
  <si>
    <t xml:space="preserve">Course</t>
  </si>
  <si>
    <t xml:space="preserve">Fee (₹)</t>
  </si>
  <si>
    <t xml:space="preserve">Admissions</t>
  </si>
  <si>
    <t xml:space="preserve">Gross Rev (₹)</t>
  </si>
  <si>
    <t xml:space="preserve">Exam Fee (₹)</t>
  </si>
  <si>
    <t xml:space="preserve">Net Rev (₹)</t>
  </si>
  <si>
    <t xml:space="preserve">% of Total</t>
  </si>
  <si>
    <t xml:space="preserve">Spoken English</t>
  </si>
  <si>
    <t xml:space="preserve">Phonics &amp; Early Literacy</t>
  </si>
  <si>
    <t xml:space="preserve">Child Psychology</t>
  </si>
  <si>
    <t xml:space="preserve">Montessori &amp; Primary Diploma</t>
  </si>
  <si>
    <t xml:space="preserve">Special Needs Education</t>
  </si>
  <si>
    <t xml:space="preserve">Digital Marketing</t>
  </si>
  <si>
    <t xml:space="preserve">TOTAL</t>
  </si>
  <si>
    <t xml:space="preserve">EXPENSE SUMMARY</t>
  </si>
  <si>
    <t xml:space="preserve">Expense Item</t>
  </si>
  <si>
    <t xml:space="preserve">Annual Amount (₹)</t>
  </si>
  <si>
    <t xml:space="preserve">% of Total Expenses</t>
  </si>
  <si>
    <t xml:space="preserve">Teacher &amp; Staff Salaries</t>
  </si>
  <si>
    <t xml:space="preserve">Advertisement</t>
  </si>
  <si>
    <t xml:space="preserve">Technology Subscription</t>
  </si>
  <si>
    <t xml:space="preserve">Book Printing</t>
  </si>
  <si>
    <t xml:space="preserve">Exam Fees (20% Gross)</t>
  </si>
  <si>
    <t xml:space="preserve">Rent</t>
  </si>
  <si>
    <t xml:space="preserve">Transport &amp; Misc</t>
  </si>
  <si>
    <t xml:space="preserve">  ENROLLMENT FUNNEL SNAPSHOT</t>
  </si>
  <si>
    <t xml:space="preserve">Stage</t>
  </si>
  <si>
    <t xml:space="preserve">Count</t>
  </si>
  <si>
    <t xml:space="preserve">Conv. Rate</t>
  </si>
  <si>
    <t xml:space="preserve">Status</t>
  </si>
  <si>
    <t xml:space="preserve">Leads Received</t>
  </si>
  <si>
    <t xml:space="preserve">—</t>
  </si>
  <si>
    <t xml:space="preserve">Enquiry Calls Made</t>
  </si>
  <si>
    <t xml:space="preserve">Counselling Completed</t>
  </si>
  <si>
    <t xml:space="preserve">Applications Submitted</t>
  </si>
  <si>
    <t xml:space="preserve">Confirmed Admissions</t>
  </si>
  <si>
    <t xml:space="preserve">Course Completions</t>
  </si>
  <si>
    <t xml:space="preserve">Placed / Employed</t>
  </si>
  <si>
    <t xml:space="preserve">ANSA MONTESSORI — ANNUAL REVENUE REPORT</t>
  </si>
  <si>
    <t xml:space="preserve">COURSE-WISE REVENUE PROJECTION (Annual)</t>
  </si>
  <si>
    <t xml:space="preserve">Fee per Student (₹)</t>
  </si>
  <si>
    <t xml:space="preserve">Duration</t>
  </si>
  <si>
    <t xml:space="preserve">Admissions (Yearly)</t>
  </si>
  <si>
    <t xml:space="preserve">Gross Revenue (₹)</t>
  </si>
  <si>
    <t xml:space="preserve">Exam Fees 5% (₹)</t>
  </si>
  <si>
    <t xml:space="preserve">Net Revenue (₹)</t>
  </si>
  <si>
    <t xml:space="preserve">3 Months</t>
  </si>
  <si>
    <t xml:space="preserve">Phonics</t>
  </si>
  <si>
    <t xml:space="preserve">6 Months</t>
  </si>
  <si>
    <t xml:space="preserve">ANSA MONTESSORI — ANNUAL EXPENSE SUMMARY</t>
  </si>
  <si>
    <t xml:space="preserve">📌 Staff reduced to 5 teachers + 2 tele callers (₹8.4L/yr)  |  Exam Fees = 5% of Gross (₹2.175L)  |  All other ops unchanged</t>
  </si>
  <si>
    <t xml:space="preserve">OPERATIONAL EXPENSES</t>
  </si>
  <si>
    <t xml:space="preserve">Expense Category</t>
  </si>
  <si>
    <t xml:space="preserve">Monthly (₹)</t>
  </si>
  <si>
    <t xml:space="preserve">Annual (₹)</t>
  </si>
  <si>
    <t xml:space="preserve">% of Gross Revenue</t>
  </si>
  <si>
    <t xml:space="preserve">Staff Salaries — 5 Teachers (₹10K/mo each)</t>
  </si>
  <si>
    <t xml:space="preserve">Tele Callers — 2 Staff (₹10K/mo each)</t>
  </si>
  <si>
    <t xml:space="preserve">Technology / LMS</t>
  </si>
  <si>
    <t xml:space="preserve">Misc / Other</t>
  </si>
  <si>
    <t xml:space="preserve">TOTAL OPERATIONAL EXPENSES</t>
  </si>
  <si>
    <t xml:space="preserve">FIXED DEDUCTION (5% of Gross Revenue)</t>
  </si>
  <si>
    <t xml:space="preserve">Rate</t>
  </si>
  <si>
    <t xml:space="preserve">Exam Fees (5% of Gross Revenue)</t>
  </si>
  <si>
    <t xml:space="preserve">5.0%</t>
  </si>
  <si>
    <t xml:space="preserve">GRAND TOTAL EXPENSES (Ops + Exam Fees)</t>
  </si>
  <si>
    <t xml:space="preserve">✅  Net Revenue = ₹41.325L  |  Net Profit = ₹21.325L  |  Profit Margin = 49.0%  |  Total Savings vs original = ₹14.925L/yr</t>
  </si>
  <si>
    <t xml:space="preserve">ANSA MONTESSORI — PROFIT &amp; LOSS SUMMARY</t>
  </si>
  <si>
    <t xml:space="preserve">FY 2026–27  |  5 Teachers  |  Exam Fees 5%  |  Net Profit ₹21.33L</t>
  </si>
  <si>
    <t xml:space="preserve">Line Item</t>
  </si>
  <si>
    <t xml:space="preserve">Amount (₹)</t>
  </si>
  <si>
    <t xml:space="preserve">Less: Exam Fees (5% of Gross)</t>
  </si>
  <si>
    <t xml:space="preserve">Less: Operational Expenses</t>
  </si>
  <si>
    <t xml:space="preserve">Profit Margin (% of Gross)</t>
  </si>
  <si>
    <t xml:space="preserve">Return on Net Revenue</t>
  </si>
  <si>
    <t xml:space="preserve">Total Expense Ratio</t>
  </si>
  <si>
    <t xml:space="preserve">ANSA MONTESSORI — STAFF &amp; SALARY PLAN (5 TEACHERS + 2 TELE CALLERS)</t>
  </si>
  <si>
    <t xml:space="preserve">📌 Reduced from 10 to 5 core teachers  |  Exam Fees reduced to 5% of Gross  |  Total salary cost: ₹8.4L/yr</t>
  </si>
  <si>
    <t xml:space="preserve">TEACHING &amp; SUPPORT STAFF</t>
  </si>
  <si>
    <t xml:space="preserve">Role / Course Assigned</t>
  </si>
  <si>
    <t xml:space="preserve">Monthly Salary (₹)</t>
  </si>
  <si>
    <t xml:space="preserve">Total Monthly (₹)</t>
  </si>
  <si>
    <t xml:space="preserve">Annual Cost (₹)</t>
  </si>
  <si>
    <t xml:space="preserve">Montessori &amp; Primary Diploma Trainer</t>
  </si>
  <si>
    <t xml:space="preserve">Special Needs Education Specialist</t>
  </si>
  <si>
    <t xml:space="preserve">Spoken English Teacher</t>
  </si>
  <si>
    <t xml:space="preserve">Phonics &amp; Early Literacy Teacher</t>
  </si>
  <si>
    <t xml:space="preserve">Child Psychology Instructor</t>
  </si>
  <si>
    <t xml:space="preserve">Tele Caller 1</t>
  </si>
  <si>
    <t xml:space="preserve">Tele Caller 2</t>
  </si>
  <si>
    <t xml:space="preserve">TOTAL (5 Teachers + 2 Tele Callers)</t>
  </si>
  <si>
    <t xml:space="preserve">❌  REMOVED: Spoken English Teacher #2  |  Montessori Trainer #2 (Junior)  |  Digital Marketing Trainer  |  Child Psych Asst.  |  Special Needs Asst.</t>
  </si>
  <si>
    <t xml:space="preserve">ANSA MONTESSORI — COURSE-WISE PROFITABILITY ANALYSIS</t>
  </si>
  <si>
    <t xml:space="preserve">REVENUE, COST &amp; MARGIN PER COURSE</t>
  </si>
  <si>
    <t xml:space="preserve">Est. Cost/Student (₹)</t>
  </si>
  <si>
    <t xml:space="preserve">Total Cost (₹)</t>
  </si>
  <si>
    <t xml:space="preserve">Contribution (₹)</t>
  </si>
  <si>
    <t xml:space="preserve">Margin %</t>
  </si>
  <si>
    <t xml:space="preserve">📌 Est. Cost/Student (col E) = allocated teacher &amp; ops cost. Adjust blue cells as needed.</t>
  </si>
  <si>
    <t xml:space="preserve">ANSA MONTESSORI — MONTHLY CASH FLOW  |  April 2026 – March 2027</t>
  </si>
  <si>
    <t xml:space="preserve">Revenue recognised by course duration &amp; batch schedule  •  Expenses spread monthly  •  Book Printing charged in April</t>
  </si>
  <si>
    <t xml:space="preserve">COURSE-WISE MONTHLY REVENUE RECOGNITION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</si>
  <si>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</si>
  <si>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</si>
  <si>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</si>
  <si>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</si>
  <si>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</si>
  <si>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</si>
  <si>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</si>
  <si>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</si>
  <si>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</si>
  <si>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</si>
  <si>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</si>
  <si>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</si>
  <si>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ANNUAL TOTAL</t>
  </si>
  <si>
    <t xml:space="preserve">Revenue Sheet</t>
  </si>
  <si>
    <t xml:space="preserve">Less: Exam Fees (20%)</t>
  </si>
  <si>
    <t xml:space="preserve">MONTHLY EXPENSES</t>
  </si>
  <si>
    <t xml:space="preserve">Staff Salaries</t>
  </si>
  <si>
    <t xml:space="preserve">Exam Fees Payout (20%)</t>
  </si>
  <si>
    <t xml:space="preserve">Misc / Transport</t>
  </si>
  <si>
    <t xml:space="preserve">TOTAL OUTFLOWS</t>
  </si>
  <si>
    <t xml:space="preserve">NET MONTHLY CASH FLOW</t>
  </si>
  <si>
    <t xml:space="preserve">CUMULATIVE CASH FLOW</t>
  </si>
  <si>
    <t xml:space="preserve">BATCH SCHEDULE REFERENCE</t>
  </si>
  <si>
    <t xml:space="preserve">Batches/Year</t>
  </si>
  <si>
    <t xml:space="preserve">Batch Start Months</t>
  </si>
  <si>
    <t xml:space="preserve">Apr-26, Jul-26, Oct-26, Jan-27  (25 students per batch)</t>
  </si>
  <si>
    <t xml:space="preserve">Apr-26, Jul-26, Oct-26, Jan-27  (12-13 per batch)</t>
  </si>
  <si>
    <t xml:space="preserve">Apr-26 &amp; Oct-26  (50 students per batch)</t>
  </si>
  <si>
    <t xml:space="preserve">Apr-26 &amp; Oct-26  (25 students per batch)</t>
  </si>
  <si>
    <t xml:space="preserve">Apr-26, Jul-26, Oct-26, Jan-27  (5 students per batch)</t>
  </si>
  <si>
    <t xml:space="preserve">ANSA MONTESSORI — BREAK-EVEN ANALYSIS</t>
  </si>
  <si>
    <t xml:space="preserve">FIXED COSTS, VARIABLE COSTS &amp; BREAK-EVEN POINT</t>
  </si>
  <si>
    <t xml:space="preserve">Description</t>
  </si>
  <si>
    <t xml:space="preserve">Basis</t>
  </si>
  <si>
    <t xml:space="preserve">  FIXED COSTS (Annual)</t>
  </si>
  <si>
    <t xml:space="preserve">Fixed monthly regardless of admissions</t>
  </si>
  <si>
    <t xml:space="preserve">Fixed monthly budget</t>
  </si>
  <si>
    <t xml:space="preserve">Fixed SaaS/LMS cost</t>
  </si>
  <si>
    <t xml:space="preserve">One-time annual</t>
  </si>
  <si>
    <t xml:space="preserve">Fixed annual rent</t>
  </si>
  <si>
    <t xml:space="preserve">Transport &amp; Miscellaneous</t>
  </si>
  <si>
    <t xml:space="preserve">Fixed estimate</t>
  </si>
  <si>
    <t xml:space="preserve">Total Fixed Costs</t>
  </si>
  <si>
    <t xml:space="preserve">  VARIABLE COSTS</t>
  </si>
  <si>
    <t xml:space="preserve">Exam Fees (20% of Gross Revenue)</t>
  </si>
  <si>
    <t xml:space="preserve">Variable — scales with revenue</t>
  </si>
  <si>
    <t xml:space="preserve">  BREAK-EVEN CALCULATION</t>
  </si>
  <si>
    <t xml:space="preserve">Total Admissions (Current)</t>
  </si>
  <si>
    <t xml:space="preserve">Sum of all enrolled students</t>
  </si>
  <si>
    <t xml:space="preserve">Avg Revenue per Student (₹)</t>
  </si>
  <si>
    <t xml:space="preserve">Gross Rev ÷ Total Admissions</t>
  </si>
  <si>
    <t xml:space="preserve">Avg Variable Cost per Student (₹)</t>
  </si>
  <si>
    <t xml:space="preserve">Exam Fee ÷ Total Admissions</t>
  </si>
  <si>
    <t xml:space="preserve">Contribution per Student (₹)</t>
  </si>
  <si>
    <t xml:space="preserve">Avg Rev minus Avg Variable Cost</t>
  </si>
  <si>
    <t xml:space="preserve">Break-Even Admissions (nos.)</t>
  </si>
  <si>
    <t xml:space="preserve">Fixed Costs ÷ Contribution per Student</t>
  </si>
  <si>
    <t xml:space="preserve">Current Admissions vs Break-Even</t>
  </si>
  <si>
    <t xml:space="preserve">Surplus admissions above break-even</t>
  </si>
  <si>
    <t xml:space="preserve">Break-Even Revenue (₹)</t>
  </si>
  <si>
    <t xml:space="preserve">Break-Even Admissions × Avg Rev/Student</t>
  </si>
  <si>
    <t xml:space="preserve">Safety Margin (%)</t>
  </si>
  <si>
    <t xml:space="preserve">(Actual Rev - BE Rev) ÷ Actual Rev</t>
  </si>
  <si>
    <t xml:space="preserve">ANSA MONTESSORI — 3-YEAR FINANCIAL PROJECTION</t>
  </si>
  <si>
    <t xml:space="preserve">GROWTH ASSUMPTIONS &amp; PROJECTED P&amp;L (FY1 = Current Year Actuals)</t>
  </si>
  <si>
    <t xml:space="preserve">  GROWTH ASSUMPTIONS (Editable — Blue Cells)</t>
  </si>
  <si>
    <t xml:space="preserve">Assumption</t>
  </si>
  <si>
    <t xml:space="preserve">FY1 (Base)</t>
  </si>
  <si>
    <t xml:space="preserve">FY2 Growth %</t>
  </si>
  <si>
    <t xml:space="preserve">FY3 Growth %</t>
  </si>
  <si>
    <t xml:space="preserve">Notes</t>
  </si>
  <si>
    <t xml:space="preserve">Admission Growth Rate</t>
  </si>
  <si>
    <t xml:space="preserve">-</t>
  </si>
  <si>
    <t xml:space="preserve">20% YoY growth in student admissions</t>
  </si>
  <si>
    <t xml:space="preserve">Fee Revision Rate</t>
  </si>
  <si>
    <t xml:space="preserve">5% annual fee increase</t>
  </si>
  <si>
    <t xml:space="preserve">Salary Increment Rate</t>
  </si>
  <si>
    <t xml:space="preserve">10% annual staff salary increase</t>
  </si>
  <si>
    <t xml:space="preserve">Fixed Cost Growth Rate</t>
  </si>
  <si>
    <t xml:space="preserve">5% increase in other fixed costs</t>
  </si>
  <si>
    <t xml:space="preserve">  PROJECTED P&amp;L</t>
  </si>
  <si>
    <t xml:space="preserve">Metric</t>
  </si>
  <si>
    <t xml:space="preserve">FY1 (Current)</t>
  </si>
  <si>
    <t xml:space="preserve">FY2 (Projected)</t>
  </si>
  <si>
    <t xml:space="preserve">FY3 (Projected)</t>
  </si>
  <si>
    <t xml:space="preserve">3-Year Total</t>
  </si>
  <si>
    <t xml:space="preserve">Total Admissions</t>
  </si>
  <si>
    <t xml:space="preserve">Avg Fee per Student (₹)</t>
  </si>
  <si>
    <t xml:space="preserve">Exam Fees 20% (₹)</t>
  </si>
  <si>
    <t xml:space="preserve">Staff Salaries (₹)</t>
  </si>
  <si>
    <t xml:space="preserve">Other Fixed Costs (₹)</t>
  </si>
  <si>
    <t xml:space="preserve">Total Expenses (₹)</t>
  </si>
  <si>
    <t xml:space="preserve">NET PROFIT (₹)</t>
  </si>
  <si>
    <t xml:space="preserve">Profit Margin (%)</t>
  </si>
  <si>
    <t xml:space="preserve">ANSA MONTESSORI — FRANCHISE REVENUE MODEL</t>
  </si>
  <si>
    <t xml:space="preserve">PER-PARTNER ECONOMICS &amp; TOTAL FRANCHISE NETWORK REVENUE</t>
  </si>
  <si>
    <t xml:space="preserve">  FRANCHISE ASSUMPTIONS (Editable)</t>
  </si>
  <si>
    <t xml:space="preserve">Parameter</t>
  </si>
  <si>
    <t xml:space="preserve">Value</t>
  </si>
  <si>
    <t xml:space="preserve">Unit</t>
  </si>
  <si>
    <t xml:space="preserve">Franchise Fee (One-Time)</t>
  </si>
  <si>
    <t xml:space="preserve">₹ per partner</t>
  </si>
  <si>
    <t xml:space="preserve">Initial onboarding fee</t>
  </si>
  <si>
    <t xml:space="preserve">Revenue Share to ANSA (%)</t>
  </si>
  <si>
    <t xml:space="preserve">% of partner gross rev</t>
  </si>
  <si>
    <t xml:space="preserve">ANSA earns 15% of partner revenue</t>
  </si>
  <si>
    <t xml:space="preserve">Avg Admissions per Partner / yr</t>
  </si>
  <si>
    <t xml:space="preserve">Students</t>
  </si>
  <si>
    <t xml:space="preserve">Conservative estimate</t>
  </si>
  <si>
    <t xml:space="preserve">Avg Course Fee per Student</t>
  </si>
  <si>
    <t xml:space="preserve">₹</t>
  </si>
  <si>
    <t xml:space="preserve">Blended average across courses</t>
  </si>
  <si>
    <t xml:space="preserve">No. of Active Partners</t>
  </si>
  <si>
    <t xml:space="preserve">Partners</t>
  </si>
  <si>
    <t xml:space="preserve">Current network size</t>
  </si>
  <si>
    <t xml:space="preserve">New Partners Added (Annual)</t>
  </si>
  <si>
    <t xml:space="preserve">Growth target</t>
  </si>
  <si>
    <t xml:space="preserve">  FRANCHISE NETWORK REVENUE TO ANSA</t>
  </si>
  <si>
    <t xml:space="preserve">Revenue Stream</t>
  </si>
  <si>
    <t xml:space="preserve">Calculation</t>
  </si>
  <si>
    <t xml:space="preserve">One-Time Franchise Fees (New)</t>
  </si>
  <si>
    <t xml:space="preserve">New partners × franchise fee</t>
  </si>
  <si>
    <t xml:space="preserve">Revenue Share from Network</t>
  </si>
  <si>
    <t xml:space="preserve">Partners × admissions × avg fee × share %</t>
  </si>
  <si>
    <t xml:space="preserve">Total Franchise Income</t>
  </si>
  <si>
    <t xml:space="preserve">Combined franchise revenue to ANSA</t>
  </si>
  <si>
    <t xml:space="preserve">  PARTNER P&amp;L (Per Franchise Center)</t>
  </si>
  <si>
    <t xml:space="preserve">Item</t>
  </si>
  <si>
    <t xml:space="preserve">Gross Revenue (Partner)</t>
  </si>
  <si>
    <t xml:space="preserve">Admissions × avg fee</t>
  </si>
  <si>
    <t xml:space="preserve">Revenue Shared to ANSA</t>
  </si>
  <si>
    <t xml:space="preserve">15% royalty to ANSA</t>
  </si>
  <si>
    <t xml:space="preserve">Net Revenue (Partner Keeps)</t>
  </si>
  <si>
    <t xml:space="preserve">After paying ANSA share</t>
  </si>
  <si>
    <t xml:space="preserve">Est. Operating Costs</t>
  </si>
  <si>
    <t xml:space="preserve">~50% cost ratio for ops/staff/rent</t>
  </si>
  <si>
    <t xml:space="preserve">Partner Net Profit</t>
  </si>
  <si>
    <t xml:space="preserve">Net after ops and ANSA share</t>
  </si>
  <si>
    <t xml:space="preserve">Partner ROI (on ₹2L invest)</t>
  </si>
  <si>
    <t xml:space="preserve">Return on ₹2 lakh investment</t>
  </si>
  <si>
    <t xml:space="preserve">ANSA MONTESSORI — FEE COLLECTION &amp; EMI TRACKER</t>
  </si>
  <si>
    <t xml:space="preserve">EXPECTED vs COLLECTED FEES PER COURSE (Enter actual collections in yellow cells)</t>
  </si>
  <si>
    <t xml:space="preserve">Expected Total (₹)</t>
  </si>
  <si>
    <t xml:space="preserve">Collected (₹)</t>
  </si>
  <si>
    <t xml:space="preserve">Pending (₹)</t>
  </si>
  <si>
    <t xml:space="preserve">Collection %</t>
  </si>
  <si>
    <t xml:space="preserve">EMI Students</t>
  </si>
  <si>
    <t xml:space="preserve">📌 Yellow cells = Enter actual collected amounts and EMI student counts.</t>
  </si>
  <si>
    <t xml:space="preserve">ANSA MONTESSORI — STUDENT ENROLLMENT FUNNEL</t>
  </si>
  <si>
    <t xml:space="preserve">Track leads → enquiries → applications → enrolments → completions per course</t>
  </si>
  <si>
    <t xml:space="preserve">  FUNNEL STAGE OVERVIEW  (Enter actual numbers in yellow cells)</t>
  </si>
  <si>
    <t xml:space="preserve">Funnel Stage</t>
  </si>
  <si>
    <t xml:space="preserve">% of Leads</t>
  </si>
  <si>
    <t xml:space="preserve">Drop-Off Count</t>
  </si>
  <si>
    <t xml:space="preserve">Drop-Off %</t>
  </si>
  <si>
    <t xml:space="preserve">Benchmark</t>
  </si>
  <si>
    <t xml:space="preserve">🔵  Total Leads / Inquiries Received</t>
  </si>
  <si>
    <t xml:space="preserve">Industry target: 1,000+/yr</t>
  </si>
  <si>
    <t xml:space="preserve">🟡  Enquiry Calls Made (Tele-Caller)</t>
  </si>
  <si>
    <t xml:space="preserve">Target: 70%+ of leads called</t>
  </si>
  <si>
    <t xml:space="preserve">🟠  Counselling Sessions Completed</t>
  </si>
  <si>
    <t xml:space="preserve">Target: 57%+ of calls</t>
  </si>
  <si>
    <t xml:space="preserve">🟢  Applications Submitted</t>
  </si>
  <si>
    <t xml:space="preserve">Target: 50%+ of counselled</t>
  </si>
  <si>
    <t xml:space="preserve">✅  Confirmed Admissions (Paid)</t>
  </si>
  <si>
    <t xml:space="preserve">Target: 75%+ of applications</t>
  </si>
  <si>
    <t xml:space="preserve">📚  Active Students (Currently Learning)</t>
  </si>
  <si>
    <t xml:space="preserve">Should match Admissions - Dropouts</t>
  </si>
  <si>
    <t xml:space="preserve">🎓  Course Completions (Certified)</t>
  </si>
  <si>
    <t xml:space="preserve">Target: 90%+ completion rate</t>
  </si>
  <si>
    <t xml:space="preserve">💼  Placed / Employed Post-Course</t>
  </si>
  <si>
    <t xml:space="preserve">Target: 98% placement rate</t>
  </si>
  <si>
    <t xml:space="preserve">  COURSE-WISE ENROLLMENT BREAKDOWN</t>
  </si>
  <si>
    <t xml:space="preserve">Target Admissions</t>
  </si>
  <si>
    <t xml:space="preserve">Actual Admissions</t>
  </si>
  <si>
    <t xml:space="preserve">Active Students</t>
  </si>
  <si>
    <t xml:space="preserve">Completions</t>
  </si>
  <si>
    <t xml:space="preserve">Dropout Count</t>
  </si>
  <si>
    <t xml:space="preserve">Completion Rate %</t>
  </si>
  <si>
    <t xml:space="preserve">  KEY CONVERSION METRICS</t>
  </si>
  <si>
    <t xml:space="preserve">Formula Basis</t>
  </si>
  <si>
    <t xml:space="preserve">Lead-to-Enquiry Conversion</t>
  </si>
  <si>
    <t xml:space="preserve">Enquiry Calls ÷ Total Leads</t>
  </si>
  <si>
    <t xml:space="preserve">Enquiry-to-Counselling Rate</t>
  </si>
  <si>
    <t xml:space="preserve">Counselling Sessions ÷ Calls</t>
  </si>
  <si>
    <t xml:space="preserve">Counselling-to-Application Rate</t>
  </si>
  <si>
    <t xml:space="preserve">Applications ÷ Counselling</t>
  </si>
  <si>
    <t xml:space="preserve">Application-to-Admission Rate</t>
  </si>
  <si>
    <t xml:space="preserve">Admissions ÷ Applications</t>
  </si>
  <si>
    <t xml:space="preserve">Overall Lead-to-Admission Rate</t>
  </si>
  <si>
    <t xml:space="preserve">Admissions ÷ Total Leads</t>
  </si>
  <si>
    <t xml:space="preserve">Overall Completion Rate</t>
  </si>
  <si>
    <t xml:space="preserve">Completions ÷ Admissions</t>
  </si>
  <si>
    <t xml:space="preserve">Post-Course Placement Rate</t>
  </si>
  <si>
    <t xml:space="preserve">Placed ÷ Completions</t>
  </si>
  <si>
    <t xml:space="preserve">Cost per Enrolled Student (₹)</t>
  </si>
  <si>
    <t xml:space="preserve">Ad Spend ÷ Total Admissions</t>
  </si>
  <si>
    <t xml:space="preserve">Revenue per Lead (₹)</t>
  </si>
  <si>
    <t xml:space="preserve">Gross Revenue ÷ Total Leads</t>
  </si>
  <si>
    <t xml:space="preserve">📌 Yellow cells = Enter actual data. Blue cells = Editable targets/inputs. Green cells = Linked from Revenue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</si>
</sst>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;&quot;(₹&quot;#,##0\);\-"/>
    <numFmt numFmtId="166" formatCode="0.0%;\(0.0%\);\-"/>
    <numFmt numFmtId="167" formatCode="#,##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263238"/>
      <name val="Arial"/>
      <family val="0"/>
      <charset val="1"/>
    </font>
    <font>
      <b val="true"/>
      <sz val="14"/>
      <color rgb="FF2632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263238"/>
      <name val="Arial"/>
      <family val="0"/>
      <charset val="1"/>
    </font>
    <font>
      <b val="true"/>
      <sz val="9"/>
      <color rgb="FF8B3A3A"/>
      <name val="Arial"/>
      <family val="0"/>
      <charset val="1"/>
    </font>
    <font>
      <sz val="9"/>
      <color rgb="FF8B3A3A"/>
      <name val="Arial"/>
      <family val="0"/>
      <charset val="1"/>
    </font>
    <font>
      <sz val="9"/>
      <color rgb="FF8B3A0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B5E20"/>
      <name val="Arial"/>
      <family val="0"/>
      <charset val="1"/>
    </font>
    <font>
      <i val="true"/>
      <sz val="9"/>
      <color rgb="FFB71C1C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546E7A"/>
      <name val="Arial"/>
      <family val="0"/>
      <charset val="1"/>
    </font>
    <font>
      <sz val="9"/>
      <color rgb="FFB71C1C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263238"/>
      <name val="Arial"/>
      <family val="0"/>
      <charset val="1"/>
    </font>
    <font>
      <sz val="9"/>
      <color rgb="FF263238"/>
      <name val="Arial"/>
      <family val="0"/>
      <charset val="1"/>
    </font>
    <font>
      <sz val="9"/>
      <color rgb="FF546E7A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8B0000"/>
        <bgColor rgb="FF800000"/>
      </patternFill>
    </fill>
    <fill>
      <patternFill patternType="solid">
        <fgColor rgb="FF1565C0"/>
        <bgColor rgb="FF3366FF"/>
      </patternFill>
    </fill>
    <fill>
      <patternFill patternType="solid">
        <fgColor rgb="FFF9A825"/>
        <bgColor rgb="FFFFCC00"/>
      </patternFill>
    </fill>
    <fill>
      <patternFill patternType="solid">
        <fgColor rgb="FF546E7A"/>
        <bgColor rgb="FF808080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E8F5E9"/>
      </patternFill>
    </fill>
    <fill>
      <patternFill patternType="solid">
        <fgColor rgb="FFC8E6C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9C4"/>
        <bgColor rgb="FFE8F5E9"/>
      </patternFill>
    </fill>
    <fill>
      <patternFill patternType="solid">
        <fgColor rgb="FFFFE0B2"/>
        <bgColor rgb="FFFFE0E0"/>
      </patternFill>
    </fill>
    <fill>
      <patternFill patternType="solid">
        <fgColor rgb="FFEDE7F6"/>
        <bgColor rgb="FFE3F2FD"/>
      </patternFill>
    </fill>
    <fill>
      <patternFill patternType="solid">
        <fgColor rgb="FF8B3A3A"/>
        <bgColor rgb="FF8B3A0F"/>
      </patternFill>
    </fill>
    <fill>
      <patternFill patternType="solid">
        <fgColor rgb="FFFFE5E5"/>
        <bgColor rgb="FFFFE0E0"/>
      </patternFill>
    </fill>
    <fill>
      <patternFill patternType="solid">
        <fgColor rgb="FFFFE0E0"/>
        <bgColor rgb="FFFFE5E5"/>
      </patternFill>
    </fill>
    <fill>
      <patternFill patternType="solid">
        <fgColor rgb="FFE0F2F1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8B3A3A"/>
      <rgbColor rgb="FFFFF9C4"/>
      <rgbColor rgb="FFE0F2F1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E8F5E9"/>
      <rgbColor rgb="FFFFE5E5"/>
      <rgbColor rgb="FFFFE0E0"/>
      <rgbColor rgb="FFCC99FF"/>
      <rgbColor rgb="FFFFE0B2"/>
      <rgbColor rgb="FF3366FF"/>
      <rgbColor rgb="FF33CCCC"/>
      <rgbColor rgb="FF99CC00"/>
      <rgbColor rgb="FFFFCC00"/>
      <rgbColor rgb="FFF9A825"/>
      <rgbColor rgb="FFFF6600"/>
      <rgbColor rgb="FF546E7A"/>
      <rgbColor rgb="FF969696"/>
      <rgbColor rgb="FF003366"/>
      <rgbColor rgb="FF2E7D32"/>
      <rgbColor rgb="FF003300"/>
      <rgbColor rgb="FF333300"/>
      <rgbColor rgb="FF8B3A0F"/>
      <rgbColor rgb="FFB71C1C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.51"/>
    <col collapsed="false" customWidth="true" hidden="false" outlineLevel="0" max="4" min="4" style="1" width="20"/>
    <col collapsed="false" customWidth="true" hidden="false" outlineLevel="0" max="5" min="5" style="1" width="1.51"/>
    <col collapsed="false" customWidth="true" hidden="false" outlineLevel="0" max="6" min="6" style="1" width="20"/>
    <col collapsed="false" customWidth="true" hidden="false" outlineLevel="0" max="7" min="7" style="1" width="1.51"/>
    <col collapsed="false" customWidth="true" hidden="false" outlineLevel="0" max="8" min="8" style="1" width="20"/>
    <col collapsed="false" customWidth="true" hidden="false" outlineLevel="0" max="9" min="9" style="1" width="1.51"/>
    <col collapsed="false" customWidth="true" hidden="false" outlineLevel="0" max="10" min="10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3.5" hidden="false" customHeight="true" outlineLevel="0" collapsed="false">
      <c r="B4" s="4"/>
      <c r="D4" s="5"/>
      <c r="F4" s="6"/>
      <c r="H4" s="7"/>
      <c r="J4" s="8"/>
    </row>
    <row r="5" customFormat="false" ht="21.75" hidden="false" customHeight="true" outlineLevel="0" collapsed="false">
      <c r="B5" s="9" t="s">
        <v>2</v>
      </c>
      <c r="D5" s="10" t="s">
        <v>3</v>
      </c>
      <c r="F5" s="11" t="s">
        <v>4</v>
      </c>
      <c r="H5" s="12" t="s">
        <v>5</v>
      </c>
      <c r="J5" s="13" t="s">
        <v>6</v>
      </c>
    </row>
    <row r="6" customFormat="false" ht="27.75" hidden="false" customHeight="true" outlineLevel="0" collapsed="false">
      <c r="B6" s="14" t="n">
        <f aca="false">Revenue!E11</f>
        <v>4350000</v>
      </c>
      <c r="D6" s="15" t="n">
        <f aca="false">'P&amp;L Summary'!B8</f>
        <v>4132500</v>
      </c>
      <c r="F6" s="16" t="n">
        <f aca="false">Expenses!C18</f>
        <v>2257500</v>
      </c>
      <c r="H6" s="17" t="n">
        <f aca="false">'P&amp;L Summary'!B10</f>
        <v>2092500</v>
      </c>
      <c r="J6" s="18" t="n">
        <f aca="false">'P&amp;L Summary'!B11</f>
        <v>0.481034482758621</v>
      </c>
    </row>
    <row r="7" customFormat="false" ht="21.75" hidden="false" customHeight="true" outlineLevel="0" collapsed="false">
      <c r="B7" s="4"/>
      <c r="D7" s="5"/>
      <c r="F7" s="6"/>
      <c r="H7" s="7"/>
      <c r="J7" s="8"/>
    </row>
    <row r="8" customFormat="false" ht="13.5" hidden="false" customHeight="true" outlineLevel="0" collapsed="false">
      <c r="B8" s="4"/>
      <c r="D8" s="5"/>
      <c r="F8" s="6"/>
      <c r="H8" s="7"/>
      <c r="J8" s="8"/>
    </row>
    <row r="10" customFormat="false" ht="19.5" hidden="false" customHeight="true" outlineLevel="0" collapsed="false">
      <c r="A10" s="19" t="s">
        <v>7</v>
      </c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18" hidden="false" customHeight="true" outlineLevel="0" collapsed="false">
      <c r="B11" s="20" t="s">
        <v>8</v>
      </c>
      <c r="C11" s="20" t="s">
        <v>9</v>
      </c>
      <c r="D11" s="20" t="s">
        <v>10</v>
      </c>
      <c r="E11" s="20" t="s">
        <v>11</v>
      </c>
      <c r="F11" s="20" t="s">
        <v>12</v>
      </c>
      <c r="G11" s="20" t="s">
        <v>13</v>
      </c>
      <c r="H11" s="20" t="s">
        <v>14</v>
      </c>
    </row>
    <row r="12" customFormat="false" ht="15" hidden="false" customHeight="true" outlineLevel="0" collapsed="false">
      <c r="B12" s="21" t="s">
        <v>15</v>
      </c>
      <c r="C12" s="22" t="n">
        <f aca="false">Revenue!B5</f>
        <v>4000</v>
      </c>
      <c r="D12" s="23" t="n">
        <f aca="false">Revenue!D5</f>
        <v>100</v>
      </c>
      <c r="E12" s="22" t="n">
        <f aca="false">Revenue!E5</f>
        <v>400000</v>
      </c>
      <c r="F12" s="22" t="n">
        <f aca="false">Revenue!F5</f>
        <v>20000</v>
      </c>
      <c r="G12" s="22" t="n">
        <f aca="false">Revenue!G5</f>
        <v>380000</v>
      </c>
      <c r="H12" s="24" t="n">
        <f aca="false">IF(Revenue!E11&gt;0,Revenue!G5/Revenue!E11,0)</f>
        <v>0.0873563218390805</v>
      </c>
    </row>
    <row r="13" customFormat="false" ht="15" hidden="false" customHeight="true" outlineLevel="0" collapsed="false">
      <c r="B13" s="25" t="s">
        <v>16</v>
      </c>
      <c r="C13" s="26" t="n">
        <f aca="false">Revenue!B6</f>
        <v>4000</v>
      </c>
      <c r="D13" s="27" t="n">
        <f aca="false">Revenue!D6</f>
        <v>100</v>
      </c>
      <c r="E13" s="26" t="n">
        <f aca="false">Revenue!E6</f>
        <v>400000</v>
      </c>
      <c r="F13" s="26" t="n">
        <f aca="false">Revenue!F6</f>
        <v>20000</v>
      </c>
      <c r="G13" s="26" t="n">
        <f aca="false">Revenue!G6</f>
        <v>380000</v>
      </c>
      <c r="H13" s="28" t="n">
        <f aca="false">IF(Revenue!E11&gt;0,Revenue!G6/Revenue!E11,0)</f>
        <v>0.0873563218390805</v>
      </c>
    </row>
    <row r="14" customFormat="false" ht="15" hidden="false" customHeight="true" outlineLevel="0" collapsed="false">
      <c r="B14" s="21" t="s">
        <v>17</v>
      </c>
      <c r="C14" s="22" t="n">
        <f aca="false">Revenue!B7</f>
        <v>6000</v>
      </c>
      <c r="D14" s="23" t="n">
        <f aca="false">Revenue!D7</f>
        <v>50</v>
      </c>
      <c r="E14" s="22" t="n">
        <f aca="false">Revenue!E7</f>
        <v>300000</v>
      </c>
      <c r="F14" s="22" t="n">
        <f aca="false">Revenue!F7</f>
        <v>15000</v>
      </c>
      <c r="G14" s="22" t="n">
        <f aca="false">Revenue!G7</f>
        <v>285000</v>
      </c>
      <c r="H14" s="24" t="n">
        <f aca="false">IF(Revenue!E11&gt;0,Revenue!G7/Revenue!E11,0)</f>
        <v>0.0655172413793104</v>
      </c>
    </row>
    <row r="15" customFormat="false" ht="15" hidden="false" customHeight="true" outlineLevel="0" collapsed="false">
      <c r="B15" s="25" t="s">
        <v>18</v>
      </c>
      <c r="C15" s="26" t="n">
        <f aca="false">Revenue!B8</f>
        <v>25000</v>
      </c>
      <c r="D15" s="27" t="n">
        <f aca="false">Revenue!D8</f>
        <v>100</v>
      </c>
      <c r="E15" s="26" t="n">
        <f aca="false">Revenue!E8</f>
        <v>2500000</v>
      </c>
      <c r="F15" s="26" t="n">
        <f aca="false">Revenue!F8</f>
        <v>125000</v>
      </c>
      <c r="G15" s="26" t="n">
        <f aca="false">Revenue!G8</f>
        <v>2375000</v>
      </c>
      <c r="H15" s="28" t="n">
        <f aca="false">IF(Revenue!E11&gt;0,Revenue!G8/Revenue!E11,0)</f>
        <v>0.545977011494253</v>
      </c>
    </row>
    <row r="16" customFormat="false" ht="15" hidden="false" customHeight="true" outlineLevel="0" collapsed="false">
      <c r="B16" s="21" t="s">
        <v>19</v>
      </c>
      <c r="C16" s="22" t="n">
        <f aca="false">Revenue!B9</f>
        <v>9000</v>
      </c>
      <c r="D16" s="23" t="n">
        <f aca="false">Revenue!D9</f>
        <v>50</v>
      </c>
      <c r="E16" s="22" t="n">
        <f aca="false">Revenue!E9</f>
        <v>450000</v>
      </c>
      <c r="F16" s="22" t="n">
        <f aca="false">Revenue!F9</f>
        <v>22500</v>
      </c>
      <c r="G16" s="22" t="n">
        <f aca="false">Revenue!G9</f>
        <v>427500</v>
      </c>
      <c r="H16" s="24" t="n">
        <f aca="false">IF(Revenue!E11&gt;0,Revenue!G9/Revenue!E11,0)</f>
        <v>0.0982758620689655</v>
      </c>
    </row>
    <row r="17" customFormat="false" ht="15" hidden="false" customHeight="true" outlineLevel="0" collapsed="false">
      <c r="B17" s="25" t="s">
        <v>20</v>
      </c>
      <c r="C17" s="26" t="n">
        <f aca="false">Revenue!B10</f>
        <v>15000</v>
      </c>
      <c r="D17" s="27" t="n">
        <f aca="false">Revenue!D10</f>
        <v>20</v>
      </c>
      <c r="E17" s="26" t="n">
        <f aca="false">Revenue!E10</f>
        <v>300000</v>
      </c>
      <c r="F17" s="26" t="n">
        <f aca="false">Revenue!F10</f>
        <v>15000</v>
      </c>
      <c r="G17" s="26" t="n">
        <f aca="false">Revenue!G10</f>
        <v>285000</v>
      </c>
      <c r="H17" s="28" t="n">
        <f aca="false">IF(Revenue!E11&gt;0,Revenue!G10/Revenue!E11,0)</f>
        <v>0.0655172413793104</v>
      </c>
    </row>
    <row r="18" customFormat="false" ht="15" hidden="false" customHeight="true" outlineLevel="0" collapsed="false">
      <c r="B18" s="29" t="s">
        <v>21</v>
      </c>
      <c r="C18" s="22"/>
      <c r="D18" s="30" t="n">
        <f aca="false">Revenue!D11</f>
        <v>420</v>
      </c>
      <c r="E18" s="31" t="n">
        <f aca="false">Revenue!E11</f>
        <v>4350000</v>
      </c>
      <c r="F18" s="31" t="n">
        <f aca="false">Revenue!F11</f>
        <v>217500</v>
      </c>
      <c r="G18" s="31" t="n">
        <f aca="false">Revenue!G11</f>
        <v>4132500</v>
      </c>
      <c r="H18" s="32" t="n">
        <f aca="false">100%</f>
        <v>1</v>
      </c>
    </row>
    <row r="19" customFormat="false" ht="15" hidden="false" customHeight="true" outlineLevel="0" collapsed="false">
      <c r="B19" s="25"/>
      <c r="C19" s="26"/>
      <c r="D19" s="27"/>
      <c r="E19" s="26"/>
      <c r="F19" s="26"/>
      <c r="G19" s="26"/>
      <c r="H19" s="28"/>
    </row>
    <row r="20" customFormat="false" ht="15" hidden="false" customHeight="true" outlineLevel="0" collapsed="false">
      <c r="B20" s="29"/>
      <c r="D20" s="30"/>
      <c r="E20" s="31"/>
      <c r="F20" s="31"/>
      <c r="G20" s="31"/>
      <c r="H20" s="32"/>
    </row>
    <row r="22" customFormat="false" ht="19.5" hidden="false" customHeight="true" outlineLevel="0" collapsed="false">
      <c r="A22" s="19" t="s">
        <v>22</v>
      </c>
      <c r="B22" s="19"/>
      <c r="C22" s="19"/>
      <c r="D22" s="19"/>
      <c r="E22" s="19"/>
      <c r="F22" s="19"/>
      <c r="G22" s="19"/>
      <c r="H22" s="19"/>
      <c r="I22" s="19"/>
      <c r="J22" s="19"/>
    </row>
    <row r="23" customFormat="false" ht="18" hidden="false" customHeight="true" outlineLevel="0" collapsed="false">
      <c r="B23" s="20" t="s">
        <v>23</v>
      </c>
      <c r="D23" s="20" t="s">
        <v>24</v>
      </c>
      <c r="F23" s="20" t="s">
        <v>25</v>
      </c>
    </row>
    <row r="24" customFormat="false" ht="15" hidden="false" customHeight="true" outlineLevel="0" collapsed="false">
      <c r="B24" s="21" t="s">
        <v>26</v>
      </c>
      <c r="C24" s="21"/>
      <c r="D24" s="22" t="n">
        <f aca="false">Expenses!C5+Expenses!C6</f>
        <v>840000</v>
      </c>
      <c r="E24" s="22"/>
      <c r="F24" s="24" t="n">
        <f aca="false">IF(Expenses!C12&gt;0,(Expenses!C5+Expenses!C6)/Expenses!C12,0)</f>
        <v>0.411764705882353</v>
      </c>
      <c r="G24" s="24"/>
    </row>
    <row r="25" customFormat="false" ht="15" hidden="false" customHeight="true" outlineLevel="0" collapsed="false">
      <c r="B25" s="25" t="s">
        <v>27</v>
      </c>
      <c r="C25" s="25"/>
      <c r="D25" s="26" t="n">
        <f aca="false">Expenses!C7</f>
        <v>240000</v>
      </c>
      <c r="E25" s="26"/>
      <c r="F25" s="28" t="n">
        <f aca="false">IF(Expenses!C12&gt;0,Expenses!C7/Expenses!C12,0)</f>
        <v>0.117647058823529</v>
      </c>
      <c r="G25" s="28"/>
    </row>
    <row r="26" customFormat="false" ht="15" hidden="false" customHeight="true" outlineLevel="0" collapsed="false">
      <c r="B26" s="21" t="s">
        <v>28</v>
      </c>
      <c r="C26" s="21"/>
      <c r="D26" s="22" t="n">
        <f aca="false">Expenses!C8</f>
        <v>360000</v>
      </c>
      <c r="E26" s="22"/>
      <c r="F26" s="24" t="n">
        <f aca="false">IF(Expenses!C12&gt;0,Expenses!C8/Expenses!C12,0)</f>
        <v>0.176470588235294</v>
      </c>
      <c r="G26" s="24"/>
    </row>
    <row r="27" customFormat="false" ht="15" hidden="false" customHeight="true" outlineLevel="0" collapsed="false">
      <c r="B27" s="25" t="s">
        <v>29</v>
      </c>
      <c r="C27" s="25"/>
      <c r="D27" s="26" t="n">
        <f aca="false">Expenses!C9</f>
        <v>200000</v>
      </c>
      <c r="E27" s="26"/>
      <c r="F27" s="28" t="n">
        <f aca="false">IF(Expenses!C12&gt;0,Expenses!C9/Expenses!C12,0)</f>
        <v>0.0980392156862745</v>
      </c>
      <c r="G27" s="28"/>
    </row>
    <row r="28" customFormat="false" ht="15" hidden="false" customHeight="true" outlineLevel="0" collapsed="false">
      <c r="B28" s="21" t="s">
        <v>30</v>
      </c>
      <c r="C28" s="21"/>
      <c r="D28" s="22" t="n">
        <f aca="false">Expenses!C10</f>
        <v>300000</v>
      </c>
      <c r="E28" s="22"/>
      <c r="F28" s="24" t="n">
        <f aca="false">IF(Expenses!C12&gt;0,Expenses!C10/Expenses!C12,0)</f>
        <v>0.147058823529412</v>
      </c>
      <c r="G28" s="24"/>
    </row>
    <row r="29" customFormat="false" ht="15" hidden="false" customHeight="true" outlineLevel="0" collapsed="false">
      <c r="B29" s="25" t="s">
        <v>31</v>
      </c>
      <c r="C29" s="25"/>
      <c r="D29" s="26" t="n">
        <f aca="false">Expenses!C11</f>
        <v>100000</v>
      </c>
      <c r="E29" s="26"/>
      <c r="F29" s="28" t="n">
        <f aca="false">IF(Expenses!C12&gt;0,Expenses!C11/Expenses!C12,0)</f>
        <v>0.0490196078431373</v>
      </c>
      <c r="G29" s="28"/>
    </row>
    <row r="30" customFormat="false" ht="15" hidden="false" customHeight="true" outlineLevel="0" collapsed="false">
      <c r="B30" s="21" t="s">
        <v>32</v>
      </c>
      <c r="C30" s="21"/>
      <c r="D30" s="22" t="n">
        <f aca="false">Expenses!C12</f>
        <v>2040000</v>
      </c>
      <c r="E30" s="22"/>
      <c r="F30" s="24" t="n">
        <f aca="false">IF(Expenses!C12&gt;0,Expenses!C12/Expenses!C12,0)</f>
        <v>1</v>
      </c>
      <c r="G30" s="24"/>
    </row>
    <row r="31" customFormat="false" ht="15" hidden="false" customHeight="true" outlineLevel="0" collapsed="false">
      <c r="B31" s="29" t="s">
        <v>4</v>
      </c>
      <c r="C31" s="29"/>
      <c r="D31" s="31" t="n">
        <f aca="false">Expenses!C12</f>
        <v>2040000</v>
      </c>
      <c r="E31" s="31"/>
      <c r="F31" s="32" t="n">
        <f aca="false">100%</f>
        <v>1</v>
      </c>
      <c r="G31" s="32"/>
    </row>
    <row r="33" customFormat="false" ht="18" hidden="false" customHeight="true" outlineLevel="0" collapsed="false">
      <c r="A33" s="33" t="s">
        <v>33</v>
      </c>
      <c r="B33" s="33"/>
      <c r="C33" s="33"/>
      <c r="D33" s="33"/>
      <c r="E33" s="33"/>
      <c r="F33" s="33"/>
      <c r="G33" s="33"/>
      <c r="H33" s="33"/>
      <c r="I33" s="33"/>
      <c r="J33" s="33"/>
    </row>
    <row r="34" customFormat="false" ht="18" hidden="false" customHeight="true" outlineLevel="0" collapsed="false">
      <c r="B34" s="20" t="s">
        <v>34</v>
      </c>
      <c r="D34" s="20" t="s">
        <v>35</v>
      </c>
      <c r="F34" s="20" t="s">
        <v>36</v>
      </c>
      <c r="H34" s="20" t="s">
        <v>37</v>
      </c>
    </row>
    <row r="35" customFormat="false" ht="15" hidden="false" customHeight="true" outlineLevel="0" collapsed="false">
      <c r="B35" s="34" t="s">
        <v>38</v>
      </c>
      <c r="C35" s="34"/>
      <c r="D35" s="35" t="n">
        <f aca="false">'Enrollment Funnel'!B6</f>
        <v>1000</v>
      </c>
      <c r="E35" s="35"/>
      <c r="F35" s="36" t="s">
        <v>39</v>
      </c>
      <c r="G35" s="36"/>
      <c r="H35" s="37" t="str">
        <f aca="false">'Enrollment Funnel'!G6</f>
        <v>✅ On Track</v>
      </c>
      <c r="I35" s="37"/>
      <c r="J35" s="37"/>
    </row>
    <row r="36" customFormat="false" ht="15" hidden="false" customHeight="true" outlineLevel="0" collapsed="false">
      <c r="B36" s="38" t="s">
        <v>40</v>
      </c>
      <c r="C36" s="38"/>
      <c r="D36" s="39" t="n">
        <f aca="false">'Enrollment Funnel'!B7</f>
        <v>700</v>
      </c>
      <c r="E36" s="39"/>
      <c r="F36" s="40" t="n">
        <f aca="false">'Enrollment Funnel'!C7</f>
        <v>0.7</v>
      </c>
      <c r="G36" s="40"/>
      <c r="H36" s="41" t="str">
        <f aca="false">'Enrollment Funnel'!G7</f>
        <v>✅ On Track</v>
      </c>
      <c r="I36" s="41"/>
      <c r="J36" s="41"/>
    </row>
    <row r="37" customFormat="false" ht="15" hidden="false" customHeight="true" outlineLevel="0" collapsed="false">
      <c r="B37" s="42" t="s">
        <v>41</v>
      </c>
      <c r="C37" s="42"/>
      <c r="D37" s="43" t="n">
        <f aca="false">'Enrollment Funnel'!B8</f>
        <v>400</v>
      </c>
      <c r="E37" s="43"/>
      <c r="F37" s="44" t="n">
        <f aca="false">'Enrollment Funnel'!C8</f>
        <v>0.4</v>
      </c>
      <c r="G37" s="44"/>
      <c r="H37" s="45" t="str">
        <f aca="false">'Enrollment Funnel'!G8</f>
        <v>⚠️ Below Target</v>
      </c>
      <c r="I37" s="45"/>
      <c r="J37" s="45"/>
    </row>
    <row r="38" customFormat="false" ht="15" hidden="false" customHeight="true" outlineLevel="0" collapsed="false">
      <c r="B38" s="46" t="s">
        <v>42</v>
      </c>
      <c r="C38" s="46"/>
      <c r="D38" s="23" t="n">
        <f aca="false">'Enrollment Funnel'!B9</f>
        <v>200</v>
      </c>
      <c r="E38" s="23"/>
      <c r="F38" s="47" t="n">
        <f aca="false">'Enrollment Funnel'!C9</f>
        <v>0.2</v>
      </c>
      <c r="G38" s="47"/>
      <c r="H38" s="48" t="str">
        <f aca="false">'Enrollment Funnel'!G9</f>
        <v>⚠️ Below Target</v>
      </c>
      <c r="I38" s="48"/>
      <c r="J38" s="48"/>
    </row>
    <row r="39" customFormat="false" ht="15" hidden="false" customHeight="true" outlineLevel="0" collapsed="false">
      <c r="B39" s="49" t="s">
        <v>43</v>
      </c>
      <c r="C39" s="49"/>
      <c r="D39" s="30" t="n">
        <f aca="false">'Enrollment Funnel'!B10</f>
        <v>0</v>
      </c>
      <c r="E39" s="30"/>
      <c r="F39" s="50" t="n">
        <f aca="false">'Enrollment Funnel'!C10</f>
        <v>0</v>
      </c>
      <c r="G39" s="50"/>
      <c r="H39" s="51" t="str">
        <f aca="false">'Enrollment Funnel'!G10</f>
        <v>⚠️ Below Target</v>
      </c>
      <c r="I39" s="51"/>
      <c r="J39" s="51"/>
    </row>
    <row r="40" customFormat="false" ht="15" hidden="false" customHeight="true" outlineLevel="0" collapsed="false">
      <c r="B40" s="52" t="s">
        <v>44</v>
      </c>
      <c r="C40" s="52"/>
      <c r="D40" s="53" t="n">
        <f aca="false">'Enrollment Funnel'!B12</f>
        <v>350</v>
      </c>
      <c r="E40" s="53"/>
      <c r="F40" s="54" t="n">
        <f aca="false">'Enrollment Funnel'!C12</f>
        <v>0.35</v>
      </c>
      <c r="G40" s="54"/>
      <c r="H40" s="55" t="str">
        <f aca="false">'Enrollment Funnel'!G11</f>
        <v>✅ On Track</v>
      </c>
      <c r="I40" s="55"/>
      <c r="J40" s="55"/>
    </row>
    <row r="41" customFormat="false" ht="15" hidden="false" customHeight="true" outlineLevel="0" collapsed="false">
      <c r="B41" s="56" t="s">
        <v>45</v>
      </c>
      <c r="C41" s="56"/>
      <c r="D41" s="57" t="n">
        <f aca="false">'Enrollment Funnel'!B13</f>
        <v>343</v>
      </c>
      <c r="E41" s="57"/>
      <c r="F41" s="58" t="n">
        <f aca="false">'Enrollment Funnel'!C13</f>
        <v>0.343</v>
      </c>
      <c r="G41" s="58"/>
      <c r="H41" s="59" t="str">
        <f aca="false">'Enrollment Funnel'!G12</f>
        <v>⚠️ Below Target</v>
      </c>
      <c r="I41" s="59"/>
      <c r="J41" s="59"/>
    </row>
  </sheetData>
  <mergeCells count="57">
    <mergeCell ref="A1:J1"/>
    <mergeCell ref="A2:J2"/>
    <mergeCell ref="A10:J10"/>
    <mergeCell ref="A22:J22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A33:J33"/>
    <mergeCell ref="B35:C35"/>
    <mergeCell ref="D35:E35"/>
    <mergeCell ref="F35:G35"/>
    <mergeCell ref="H35:J35"/>
    <mergeCell ref="B36:C36"/>
    <mergeCell ref="D36:E36"/>
    <mergeCell ref="F36:G36"/>
    <mergeCell ref="H36:J36"/>
    <mergeCell ref="B37:C37"/>
    <mergeCell ref="D37:E37"/>
    <mergeCell ref="F37:G37"/>
    <mergeCell ref="H37:J37"/>
    <mergeCell ref="B38:C38"/>
    <mergeCell ref="D38:E38"/>
    <mergeCell ref="F38:G38"/>
    <mergeCell ref="H38:J38"/>
    <mergeCell ref="B39:C39"/>
    <mergeCell ref="D39:E39"/>
    <mergeCell ref="F39:G39"/>
    <mergeCell ref="H39:J39"/>
    <mergeCell ref="B40:C40"/>
    <mergeCell ref="D40:E40"/>
    <mergeCell ref="F40:G40"/>
    <mergeCell ref="H40:J40"/>
    <mergeCell ref="B41:C41"/>
    <mergeCell ref="D41:E41"/>
    <mergeCell ref="F41:G41"/>
    <mergeCell ref="H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7" min="4" style="1" width="20"/>
  </cols>
  <sheetData>
    <row r="1" customFormat="false" ht="27.75" hidden="false" customHeight="true" outlineLevel="0" collapsed="false">
      <c r="A1" s="60" t="s">
        <v>46</v>
      </c>
      <c r="B1" s="60"/>
      <c r="C1" s="60"/>
      <c r="D1" s="60"/>
      <c r="E1" s="60"/>
      <c r="F1" s="60"/>
      <c r="G1" s="60"/>
    </row>
    <row r="3" customFormat="false" ht="19.5" hidden="false" customHeight="true" outlineLevel="0" collapsed="false">
      <c r="A3" s="19" t="s">
        <v>47</v>
      </c>
      <c r="B3" s="19"/>
      <c r="C3" s="19"/>
      <c r="D3" s="19"/>
      <c r="E3" s="19"/>
      <c r="F3" s="19"/>
      <c r="G3" s="19"/>
    </row>
    <row r="4" customFormat="false" ht="18" hidden="false" customHeight="true" outlineLevel="0" collapsed="false">
      <c r="A4" s="20" t="s">
        <v>8</v>
      </c>
      <c r="B4" s="20" t="s">
        <v>48</v>
      </c>
      <c r="C4" s="20" t="s">
        <v>49</v>
      </c>
      <c r="D4" s="20" t="s">
        <v>50</v>
      </c>
      <c r="E4" s="20" t="s">
        <v>51</v>
      </c>
      <c r="F4" s="20" t="s">
        <v>52</v>
      </c>
      <c r="G4" s="20" t="s">
        <v>53</v>
      </c>
    </row>
    <row r="5" customFormat="false" ht="15" hidden="false" customHeight="true" outlineLevel="0" collapsed="false">
      <c r="A5" s="21" t="s">
        <v>15</v>
      </c>
      <c r="B5" s="61" t="n">
        <v>4000</v>
      </c>
      <c r="C5" s="62" t="s">
        <v>54</v>
      </c>
      <c r="D5" s="63" t="n">
        <v>100</v>
      </c>
      <c r="E5" s="22" t="n">
        <f aca="false">B5*D5</f>
        <v>400000</v>
      </c>
      <c r="F5" s="22" t="n">
        <f aca="false">E5*0.05</f>
        <v>20000</v>
      </c>
      <c r="G5" s="22" t="n">
        <f aca="false">E5-F5</f>
        <v>380000</v>
      </c>
    </row>
    <row r="6" customFormat="false" ht="15" hidden="false" customHeight="true" outlineLevel="0" collapsed="false">
      <c r="A6" s="25" t="s">
        <v>55</v>
      </c>
      <c r="B6" s="64" t="n">
        <v>4000</v>
      </c>
      <c r="C6" s="65" t="s">
        <v>54</v>
      </c>
      <c r="D6" s="66" t="n">
        <v>100</v>
      </c>
      <c r="E6" s="26" t="n">
        <f aca="false">B6*D6</f>
        <v>400000</v>
      </c>
      <c r="F6" s="26" t="n">
        <f aca="false">E6*0.05</f>
        <v>20000</v>
      </c>
      <c r="G6" s="26" t="n">
        <f aca="false">E6-F6</f>
        <v>380000</v>
      </c>
    </row>
    <row r="7" customFormat="false" ht="15" hidden="false" customHeight="true" outlineLevel="0" collapsed="false">
      <c r="A7" s="21" t="s">
        <v>17</v>
      </c>
      <c r="B7" s="61" t="n">
        <v>6000</v>
      </c>
      <c r="C7" s="62" t="s">
        <v>54</v>
      </c>
      <c r="D7" s="63" t="n">
        <v>50</v>
      </c>
      <c r="E7" s="22" t="n">
        <f aca="false">B7*D7</f>
        <v>300000</v>
      </c>
      <c r="F7" s="22" t="n">
        <f aca="false">E7*0.05</f>
        <v>15000</v>
      </c>
      <c r="G7" s="22" t="n">
        <f aca="false">E7-F7</f>
        <v>285000</v>
      </c>
    </row>
    <row r="8" customFormat="false" ht="15" hidden="false" customHeight="true" outlineLevel="0" collapsed="false">
      <c r="A8" s="25" t="s">
        <v>18</v>
      </c>
      <c r="B8" s="64" t="n">
        <v>25000</v>
      </c>
      <c r="C8" s="65" t="s">
        <v>56</v>
      </c>
      <c r="D8" s="66" t="n">
        <v>100</v>
      </c>
      <c r="E8" s="26" t="n">
        <f aca="false">B8*D8</f>
        <v>2500000</v>
      </c>
      <c r="F8" s="26" t="n">
        <f aca="false">E8*0.05</f>
        <v>125000</v>
      </c>
      <c r="G8" s="26" t="n">
        <f aca="false">E8-F8</f>
        <v>2375000</v>
      </c>
    </row>
    <row r="9" customFormat="false" ht="15" hidden="false" customHeight="true" outlineLevel="0" collapsed="false">
      <c r="A9" s="21" t="s">
        <v>19</v>
      </c>
      <c r="B9" s="61" t="n">
        <v>9000</v>
      </c>
      <c r="C9" s="62" t="s">
        <v>56</v>
      </c>
      <c r="D9" s="63" t="n">
        <v>50</v>
      </c>
      <c r="E9" s="22" t="n">
        <f aca="false">B9*D9</f>
        <v>450000</v>
      </c>
      <c r="F9" s="22" t="n">
        <f aca="false">E9*0.05</f>
        <v>22500</v>
      </c>
      <c r="G9" s="22" t="n">
        <f aca="false">E9-F9</f>
        <v>427500</v>
      </c>
    </row>
    <row r="10" customFormat="false" ht="15" hidden="false" customHeight="true" outlineLevel="0" collapsed="false">
      <c r="A10" s="25" t="s">
        <v>20</v>
      </c>
      <c r="B10" s="64" t="n">
        <v>15000</v>
      </c>
      <c r="C10" s="65" t="s">
        <v>54</v>
      </c>
      <c r="D10" s="66" t="n">
        <v>20</v>
      </c>
      <c r="E10" s="26" t="n">
        <f aca="false">B10*D10</f>
        <v>300000</v>
      </c>
      <c r="F10" s="26" t="n">
        <f aca="false">E10*0.05</f>
        <v>15000</v>
      </c>
      <c r="G10" s="26" t="n">
        <f aca="false">E10-F10</f>
        <v>285000</v>
      </c>
    </row>
    <row r="11" customFormat="false" ht="15" hidden="false" customHeight="true" outlineLevel="0" collapsed="false">
      <c r="A11" s="29" t="s">
        <v>21</v>
      </c>
      <c r="D11" s="30" t="n">
        <f aca="false">SUM(D5:D10)</f>
        <v>420</v>
      </c>
      <c r="E11" s="31" t="n">
        <f aca="false">SUM(E5:E10)</f>
        <v>4350000</v>
      </c>
      <c r="F11" s="31" t="n">
        <f aca="false">SUM(F5:F10)</f>
        <v>217500</v>
      </c>
      <c r="G11" s="31" t="n">
        <f aca="false">SUM(G5:G10)</f>
        <v>4132500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27.75" hidden="false" customHeight="true" outlineLevel="0" collapsed="false">
      <c r="A1" s="60" t="s">
        <v>57</v>
      </c>
      <c r="B1" s="60"/>
      <c r="C1" s="60"/>
      <c r="D1" s="60"/>
    </row>
    <row r="2" customFormat="false" ht="18" hidden="false" customHeight="true" outlineLevel="0" collapsed="false">
      <c r="A2" s="67" t="s">
        <v>58</v>
      </c>
      <c r="B2" s="67"/>
      <c r="C2" s="67"/>
      <c r="D2" s="67"/>
    </row>
    <row r="3" customFormat="false" ht="19.5" hidden="false" customHeight="true" outlineLevel="0" collapsed="false">
      <c r="A3" s="19" t="s">
        <v>59</v>
      </c>
      <c r="B3" s="19"/>
      <c r="C3" s="19"/>
      <c r="D3" s="19"/>
    </row>
    <row r="4" customFormat="false" ht="18" hidden="false" customHeight="true" outlineLevel="0" collapsed="false">
      <c r="A4" s="20" t="s">
        <v>60</v>
      </c>
      <c r="B4" s="20" t="s">
        <v>61</v>
      </c>
      <c r="C4" s="20" t="s">
        <v>62</v>
      </c>
      <c r="D4" s="20" t="s">
        <v>63</v>
      </c>
    </row>
    <row r="5" customFormat="false" ht="15" hidden="false" customHeight="true" outlineLevel="0" collapsed="false">
      <c r="A5" s="21" t="s">
        <v>64</v>
      </c>
      <c r="B5" s="61" t="n">
        <v>50000</v>
      </c>
      <c r="C5" s="61" t="n">
        <v>600000</v>
      </c>
      <c r="D5" s="24" t="n">
        <f aca="false">C5/Revenue!E11</f>
        <v>0.137931034482759</v>
      </c>
    </row>
    <row r="6" customFormat="false" ht="15" hidden="false" customHeight="true" outlineLevel="0" collapsed="false">
      <c r="A6" s="25" t="s">
        <v>65</v>
      </c>
      <c r="B6" s="64" t="n">
        <v>20000</v>
      </c>
      <c r="C6" s="64" t="n">
        <v>240000</v>
      </c>
      <c r="D6" s="28" t="n">
        <f aca="false">C6/Revenue!E11</f>
        <v>0.0551724137931035</v>
      </c>
    </row>
    <row r="7" customFormat="false" ht="15" hidden="false" customHeight="true" outlineLevel="0" collapsed="false">
      <c r="A7" s="21" t="s">
        <v>27</v>
      </c>
      <c r="B7" s="61" t="n">
        <v>20000</v>
      </c>
      <c r="C7" s="61" t="n">
        <v>240000</v>
      </c>
      <c r="D7" s="24" t="n">
        <f aca="false">C7/Revenue!E11</f>
        <v>0.0551724137931035</v>
      </c>
    </row>
    <row r="8" customFormat="false" ht="15" hidden="false" customHeight="true" outlineLevel="0" collapsed="false">
      <c r="A8" s="25" t="s">
        <v>66</v>
      </c>
      <c r="B8" s="64" t="n">
        <v>30000</v>
      </c>
      <c r="C8" s="64" t="n">
        <v>360000</v>
      </c>
      <c r="D8" s="28" t="n">
        <f aca="false">C8/Revenue!E11</f>
        <v>0.0827586206896552</v>
      </c>
    </row>
    <row r="9" customFormat="false" ht="15" hidden="false" customHeight="true" outlineLevel="0" collapsed="false">
      <c r="A9" s="21" t="s">
        <v>29</v>
      </c>
      <c r="B9" s="62" t="s">
        <v>39</v>
      </c>
      <c r="C9" s="61" t="n">
        <v>200000</v>
      </c>
      <c r="D9" s="24" t="n">
        <f aca="false">C9/Revenue!E11</f>
        <v>0.0459770114942529</v>
      </c>
    </row>
    <row r="10" customFormat="false" ht="15" hidden="false" customHeight="true" outlineLevel="0" collapsed="false">
      <c r="A10" s="25" t="s">
        <v>31</v>
      </c>
      <c r="B10" s="64" t="n">
        <v>25000</v>
      </c>
      <c r="C10" s="64" t="n">
        <v>300000</v>
      </c>
      <c r="D10" s="28" t="n">
        <f aca="false">C10/Revenue!E11</f>
        <v>0.0689655172413793</v>
      </c>
    </row>
    <row r="11" customFormat="false" ht="15" hidden="false" customHeight="true" outlineLevel="0" collapsed="false">
      <c r="A11" s="21" t="s">
        <v>67</v>
      </c>
      <c r="B11" s="62" t="s">
        <v>39</v>
      </c>
      <c r="C11" s="61" t="n">
        <v>100000</v>
      </c>
      <c r="D11" s="24" t="n">
        <f aca="false">C11/Revenue!E11</f>
        <v>0.0229885057471264</v>
      </c>
    </row>
    <row r="12" customFormat="false" ht="15" hidden="false" customHeight="true" outlineLevel="0" collapsed="false">
      <c r="A12" s="29" t="s">
        <v>68</v>
      </c>
      <c r="B12" s="31" t="n">
        <f aca="false">SUM(B5:B11)</f>
        <v>145000</v>
      </c>
      <c r="C12" s="31" t="n">
        <f aca="false">SUM(C5:C11)</f>
        <v>2040000</v>
      </c>
      <c r="D12" s="32" t="n">
        <f aca="false">C12/Revenue!E11</f>
        <v>0.468965517241379</v>
      </c>
    </row>
    <row r="13" customFormat="false" ht="7.5" hidden="false" customHeight="true" outlineLevel="0" collapsed="false"/>
    <row r="14" customFormat="false" ht="19.5" hidden="false" customHeight="true" outlineLevel="0" collapsed="false">
      <c r="A14" s="68" t="s">
        <v>69</v>
      </c>
      <c r="B14" s="68"/>
      <c r="C14" s="68"/>
      <c r="D14" s="68"/>
    </row>
    <row r="15" customFormat="false" ht="18" hidden="false" customHeight="true" outlineLevel="0" collapsed="false">
      <c r="A15" s="69" t="s">
        <v>60</v>
      </c>
      <c r="B15" s="69" t="s">
        <v>70</v>
      </c>
      <c r="C15" s="69" t="s">
        <v>62</v>
      </c>
      <c r="D15" s="69" t="s">
        <v>63</v>
      </c>
    </row>
    <row r="16" customFormat="false" ht="15" hidden="false" customHeight="true" outlineLevel="0" collapsed="false">
      <c r="A16" s="70" t="s">
        <v>71</v>
      </c>
      <c r="B16" s="71" t="s">
        <v>72</v>
      </c>
      <c r="C16" s="72" t="n">
        <f aca="false">Revenue!E11*0.05</f>
        <v>217500</v>
      </c>
      <c r="D16" s="73" t="n">
        <f aca="false">C16/Revenue!E11</f>
        <v>0.05</v>
      </c>
    </row>
    <row r="17" customFormat="false" ht="7.5" hidden="false" customHeight="true" outlineLevel="0" collapsed="false"/>
    <row r="18" customFormat="false" ht="15" hidden="false" customHeight="true" outlineLevel="0" collapsed="false">
      <c r="A18" s="29" t="s">
        <v>73</v>
      </c>
      <c r="B18" s="74" t="s">
        <v>39</v>
      </c>
      <c r="C18" s="31" t="n">
        <f aca="false">C12+C16</f>
        <v>2257500</v>
      </c>
      <c r="D18" s="32" t="n">
        <f aca="false">C18/Revenue!E11</f>
        <v>0.518965517241379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75" t="s">
        <v>74</v>
      </c>
      <c r="B20" s="75"/>
      <c r="C20" s="75"/>
      <c r="D20" s="75"/>
    </row>
  </sheetData>
  <mergeCells count="5">
    <mergeCell ref="A1:D1"/>
    <mergeCell ref="A2:D2"/>
    <mergeCell ref="A3:D3"/>
    <mergeCell ref="A14:D1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2"/>
  </cols>
  <sheetData>
    <row r="1" customFormat="false" ht="27.75" hidden="false" customHeight="true" outlineLevel="0" collapsed="false">
      <c r="A1" s="60" t="s">
        <v>75</v>
      </c>
      <c r="B1" s="60"/>
      <c r="C1" s="60"/>
    </row>
    <row r="3" customFormat="false" ht="19.5" hidden="false" customHeight="true" outlineLevel="0" collapsed="false">
      <c r="A3" s="19" t="s">
        <v>76</v>
      </c>
      <c r="B3" s="19"/>
      <c r="C3" s="19"/>
    </row>
    <row r="4" customFormat="false" ht="18" hidden="false" customHeight="true" outlineLevel="0" collapsed="false">
      <c r="A4" s="20" t="s">
        <v>77</v>
      </c>
      <c r="B4" s="20" t="s">
        <v>78</v>
      </c>
      <c r="C4" s="20" t="s">
        <v>63</v>
      </c>
    </row>
    <row r="5" customFormat="false" ht="18" hidden="false" customHeight="true" outlineLevel="0" collapsed="false">
      <c r="A5" s="76"/>
      <c r="B5" s="76"/>
      <c r="C5" s="76"/>
    </row>
    <row r="6" customFormat="false" ht="15" hidden="false" customHeight="true" outlineLevel="0" collapsed="false">
      <c r="A6" s="77" t="s">
        <v>2</v>
      </c>
      <c r="B6" s="78" t="n">
        <f aca="false">Revenue!E11</f>
        <v>4350000</v>
      </c>
      <c r="C6" s="79" t="n">
        <f aca="false">IF(Revenue!E11&gt;0,B6/Revenue!E11,0)</f>
        <v>1</v>
      </c>
    </row>
    <row r="7" customFormat="false" ht="15" hidden="false" customHeight="true" outlineLevel="0" collapsed="false">
      <c r="A7" s="80" t="s">
        <v>79</v>
      </c>
      <c r="B7" s="72" t="n">
        <f aca="false">Revenue!E11*0.05</f>
        <v>217500</v>
      </c>
      <c r="C7" s="73" t="n">
        <f aca="false">IF(Revenue!E11&gt;0,B7/Revenue!E11,0)</f>
        <v>0.05</v>
      </c>
    </row>
    <row r="8" customFormat="false" ht="15" hidden="false" customHeight="true" outlineLevel="0" collapsed="false">
      <c r="A8" s="29" t="s">
        <v>3</v>
      </c>
      <c r="B8" s="31" t="n">
        <f aca="false">B6-B7</f>
        <v>4132500</v>
      </c>
      <c r="C8" s="32" t="n">
        <f aca="false">IF(Revenue!E11&gt;0,B8/Revenue!E11,0)</f>
        <v>0.95</v>
      </c>
    </row>
    <row r="9" customFormat="false" ht="15" hidden="false" customHeight="true" outlineLevel="0" collapsed="false">
      <c r="A9" s="81" t="s">
        <v>80</v>
      </c>
      <c r="B9" s="82" t="n">
        <f aca="false">Expenses!C12</f>
        <v>2040000</v>
      </c>
      <c r="C9" s="83" t="n">
        <f aca="false">IF(Revenue!E11&gt;0,B9/Revenue!E11,0)</f>
        <v>0.468965517241379</v>
      </c>
    </row>
    <row r="10" customFormat="false" ht="18" hidden="false" customHeight="true" outlineLevel="0" collapsed="false">
      <c r="A10" s="84" t="s">
        <v>5</v>
      </c>
      <c r="B10" s="85" t="n">
        <f aca="false">B8-B9</f>
        <v>2092500</v>
      </c>
      <c r="C10" s="86" t="n">
        <f aca="false">IF(Revenue!E11&gt;0,B10/Revenue!E11,0)</f>
        <v>0.481034482758621</v>
      </c>
    </row>
    <row r="11" customFormat="false" ht="15" hidden="false" customHeight="true" outlineLevel="0" collapsed="false">
      <c r="A11" s="87" t="s">
        <v>81</v>
      </c>
      <c r="B11" s="88" t="n">
        <f aca="false">IF(B6&gt;0,B10/B6,0)</f>
        <v>0.481034482758621</v>
      </c>
      <c r="C11" s="88" t="n">
        <f aca="false">B11</f>
        <v>0.481034482758621</v>
      </c>
    </row>
    <row r="12" customFormat="false" ht="15" hidden="false" customHeight="true" outlineLevel="0" collapsed="false">
      <c r="A12" s="87" t="s">
        <v>82</v>
      </c>
      <c r="B12" s="88" t="n">
        <f aca="false">IF(B8&gt;0,B10/B8,0)</f>
        <v>0.506352087114338</v>
      </c>
      <c r="C12" s="88" t="n">
        <f aca="false">B12</f>
        <v>0.506352087114338</v>
      </c>
    </row>
    <row r="13" customFormat="false" ht="18" hidden="false" customHeight="true" outlineLevel="0" collapsed="false">
      <c r="A13" s="81" t="s">
        <v>83</v>
      </c>
      <c r="B13" s="83" t="n">
        <f aca="false">IF(B6&gt;0,Expenses!C18/B6,0)</f>
        <v>0.518965517241379</v>
      </c>
      <c r="C13" s="83" t="n">
        <f aca="false">B13</f>
        <v>0.518965517241379</v>
      </c>
    </row>
  </sheetData>
  <mergeCells count="3">
    <mergeCell ref="A1:C1"/>
    <mergeCell ref="A3:C3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5" min="4" style="1" width="20"/>
  </cols>
  <sheetData>
    <row r="1" customFormat="false" ht="27.75" hidden="false" customHeight="true" outlineLevel="0" collapsed="false">
      <c r="A1" s="60" t="s">
        <v>84</v>
      </c>
      <c r="B1" s="60"/>
      <c r="C1" s="60"/>
      <c r="D1" s="60"/>
      <c r="E1" s="60"/>
    </row>
    <row r="2" customFormat="false" ht="18" hidden="false" customHeight="true" outlineLevel="0" collapsed="false">
      <c r="A2" s="67" t="s">
        <v>85</v>
      </c>
      <c r="B2" s="67"/>
      <c r="C2" s="67"/>
      <c r="D2" s="67"/>
      <c r="E2" s="67"/>
    </row>
    <row r="3" customFormat="false" ht="19.5" hidden="false" customHeight="true" outlineLevel="0" collapsed="false">
      <c r="A3" s="19" t="s">
        <v>86</v>
      </c>
      <c r="B3" s="19"/>
      <c r="C3" s="19"/>
      <c r="D3" s="19"/>
      <c r="E3" s="19"/>
    </row>
    <row r="4" customFormat="false" ht="18" hidden="false" customHeight="true" outlineLevel="0" collapsed="false">
      <c r="A4" s="20" t="s">
        <v>87</v>
      </c>
      <c r="B4" s="20" t="s">
        <v>88</v>
      </c>
      <c r="C4" s="20" t="s">
        <v>35</v>
      </c>
      <c r="D4" s="20" t="s">
        <v>89</v>
      </c>
      <c r="E4" s="20" t="s">
        <v>90</v>
      </c>
    </row>
    <row r="5" customFormat="false" ht="15" hidden="false" customHeight="true" outlineLevel="0" collapsed="false">
      <c r="A5" s="21" t="s">
        <v>91</v>
      </c>
      <c r="B5" s="61" t="n">
        <v>10000</v>
      </c>
      <c r="C5" s="89" t="n">
        <v>1</v>
      </c>
      <c r="D5" s="22" t="n">
        <f aca="false">B5*C5</f>
        <v>10000</v>
      </c>
      <c r="E5" s="22" t="n">
        <f aca="false">D5*12</f>
        <v>120000</v>
      </c>
    </row>
    <row r="6" customFormat="false" ht="15" hidden="false" customHeight="true" outlineLevel="0" collapsed="false">
      <c r="A6" s="25" t="s">
        <v>92</v>
      </c>
      <c r="B6" s="64" t="n">
        <v>10000</v>
      </c>
      <c r="C6" s="90" t="n">
        <v>1</v>
      </c>
      <c r="D6" s="26" t="n">
        <f aca="false">B6*C6</f>
        <v>10000</v>
      </c>
      <c r="E6" s="26" t="n">
        <f aca="false">D6*12</f>
        <v>120000</v>
      </c>
    </row>
    <row r="7" customFormat="false" ht="15" hidden="false" customHeight="true" outlineLevel="0" collapsed="false">
      <c r="A7" s="21" t="s">
        <v>93</v>
      </c>
      <c r="B7" s="61" t="n">
        <v>10000</v>
      </c>
      <c r="C7" s="89" t="n">
        <v>1</v>
      </c>
      <c r="D7" s="22" t="n">
        <f aca="false">B7*C7</f>
        <v>10000</v>
      </c>
      <c r="E7" s="22" t="n">
        <f aca="false">D7*12</f>
        <v>120000</v>
      </c>
    </row>
    <row r="8" customFormat="false" ht="15" hidden="false" customHeight="true" outlineLevel="0" collapsed="false">
      <c r="A8" s="25" t="s">
        <v>94</v>
      </c>
      <c r="B8" s="64" t="n">
        <v>10000</v>
      </c>
      <c r="C8" s="90" t="n">
        <v>1</v>
      </c>
      <c r="D8" s="26" t="n">
        <f aca="false">B8*C8</f>
        <v>10000</v>
      </c>
      <c r="E8" s="26" t="n">
        <f aca="false">D8*12</f>
        <v>120000</v>
      </c>
    </row>
    <row r="9" customFormat="false" ht="15" hidden="false" customHeight="true" outlineLevel="0" collapsed="false">
      <c r="A9" s="21" t="s">
        <v>95</v>
      </c>
      <c r="B9" s="61" t="n">
        <v>10000</v>
      </c>
      <c r="C9" s="89" t="n">
        <v>1</v>
      </c>
      <c r="D9" s="22" t="n">
        <f aca="false">B9*C9</f>
        <v>10000</v>
      </c>
      <c r="E9" s="22" t="n">
        <f aca="false">D9*12</f>
        <v>120000</v>
      </c>
    </row>
    <row r="10" customFormat="false" ht="15" hidden="false" customHeight="true" outlineLevel="0" collapsed="false">
      <c r="A10" s="25" t="s">
        <v>96</v>
      </c>
      <c r="B10" s="64" t="n">
        <v>10000</v>
      </c>
      <c r="C10" s="90" t="n">
        <v>1</v>
      </c>
      <c r="D10" s="26" t="n">
        <f aca="false">B10*C10</f>
        <v>10000</v>
      </c>
      <c r="E10" s="26" t="n">
        <f aca="false">D10*12</f>
        <v>120000</v>
      </c>
    </row>
    <row r="11" customFormat="false" ht="15" hidden="false" customHeight="true" outlineLevel="0" collapsed="false">
      <c r="A11" s="21" t="s">
        <v>97</v>
      </c>
      <c r="B11" s="61" t="n">
        <v>10000</v>
      </c>
      <c r="C11" s="89" t="n">
        <v>1</v>
      </c>
      <c r="D11" s="22" t="n">
        <f aca="false">B11*C11</f>
        <v>10000</v>
      </c>
      <c r="E11" s="22" t="n">
        <f aca="false">D11*12</f>
        <v>120000</v>
      </c>
    </row>
    <row r="12" customFormat="false" ht="15" hidden="false" customHeight="true" outlineLevel="0" collapsed="false">
      <c r="A12" s="29" t="s">
        <v>98</v>
      </c>
      <c r="C12" s="91" t="n">
        <f aca="false">SUM(C5:C11)</f>
        <v>7</v>
      </c>
      <c r="D12" s="31" t="n">
        <f aca="false">SUM(D5:D11)</f>
        <v>70000</v>
      </c>
      <c r="E12" s="31" t="n">
        <f aca="false">SUM(E5:E11)</f>
        <v>840000</v>
      </c>
    </row>
    <row r="13" customFormat="false" ht="15" hidden="false" customHeight="true" outlineLevel="0" collapsed="false"/>
    <row r="14" customFormat="false" ht="18" hidden="false" customHeight="true" outlineLevel="0" collapsed="false">
      <c r="A14" s="92" t="s">
        <v>99</v>
      </c>
      <c r="B14" s="92"/>
      <c r="C14" s="92"/>
      <c r="D14" s="92"/>
      <c r="E14" s="92"/>
    </row>
  </sheetData>
  <mergeCells count="4">
    <mergeCell ref="A1:E1"/>
    <mergeCell ref="A2:E2"/>
    <mergeCell ref="A3:E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2"/>
  </cols>
  <sheetData>
    <row r="1" customFormat="false" ht="27.75" hidden="false" customHeight="true" outlineLevel="0" collapsed="false">
      <c r="A1" s="60" t="s">
        <v>100</v>
      </c>
      <c r="B1" s="60"/>
      <c r="C1" s="60"/>
      <c r="D1" s="60"/>
      <c r="E1" s="60"/>
      <c r="F1" s="60"/>
      <c r="G1" s="60"/>
      <c r="H1" s="60"/>
    </row>
    <row r="3" customFormat="false" ht="19.5" hidden="false" customHeight="true" outlineLevel="0" collapsed="false">
      <c r="A3" s="19" t="s">
        <v>101</v>
      </c>
      <c r="B3" s="19"/>
      <c r="C3" s="19"/>
      <c r="D3" s="19"/>
      <c r="E3" s="19"/>
      <c r="F3" s="19"/>
      <c r="G3" s="19"/>
      <c r="H3" s="19"/>
    </row>
    <row r="4" customFormat="false" ht="18" hidden="false" customHeight="true" outlineLevel="0" collapsed="false">
      <c r="A4" s="20" t="s">
        <v>8</v>
      </c>
      <c r="B4" s="20" t="s">
        <v>10</v>
      </c>
      <c r="C4" s="20" t="s">
        <v>9</v>
      </c>
      <c r="D4" s="20" t="s">
        <v>11</v>
      </c>
      <c r="E4" s="20" t="s">
        <v>102</v>
      </c>
      <c r="F4" s="20" t="s">
        <v>103</v>
      </c>
      <c r="G4" s="20" t="s">
        <v>104</v>
      </c>
      <c r="H4" s="20" t="s">
        <v>105</v>
      </c>
    </row>
    <row r="5" customFormat="false" ht="15" hidden="false" customHeight="true" outlineLevel="0" collapsed="false">
      <c r="A5" s="21" t="s">
        <v>15</v>
      </c>
      <c r="B5" s="23" t="n">
        <f aca="false">Revenue!D5</f>
        <v>100</v>
      </c>
      <c r="C5" s="22" t="n">
        <f aca="false">Revenue!B5</f>
        <v>4000</v>
      </c>
      <c r="D5" s="22" t="n">
        <f aca="false">Revenue!E5</f>
        <v>400000</v>
      </c>
      <c r="E5" s="61" t="n">
        <v>1500</v>
      </c>
      <c r="F5" s="22" t="n">
        <f aca="false">E5*B5</f>
        <v>150000</v>
      </c>
      <c r="G5" s="22" t="n">
        <f aca="false">D5-F5</f>
        <v>250000</v>
      </c>
      <c r="H5" s="24" t="n">
        <f aca="false">IF(D5&gt;0,G5/D5,0)</f>
        <v>0.625</v>
      </c>
    </row>
    <row r="6" customFormat="false" ht="15" hidden="false" customHeight="true" outlineLevel="0" collapsed="false">
      <c r="A6" s="25" t="s">
        <v>16</v>
      </c>
      <c r="B6" s="27" t="n">
        <f aca="false">Revenue!D6</f>
        <v>100</v>
      </c>
      <c r="C6" s="26" t="n">
        <f aca="false">Revenue!B6</f>
        <v>4000</v>
      </c>
      <c r="D6" s="26" t="n">
        <f aca="false">Revenue!E6</f>
        <v>400000</v>
      </c>
      <c r="E6" s="64" t="n">
        <v>1500</v>
      </c>
      <c r="F6" s="26" t="n">
        <f aca="false">E6*B6</f>
        <v>150000</v>
      </c>
      <c r="G6" s="26" t="n">
        <f aca="false">D6-F6</f>
        <v>250000</v>
      </c>
      <c r="H6" s="28" t="n">
        <f aca="false">IF(D6&gt;0,G6/D6,0)</f>
        <v>0.625</v>
      </c>
    </row>
    <row r="7" customFormat="false" ht="15" hidden="false" customHeight="true" outlineLevel="0" collapsed="false">
      <c r="A7" s="21" t="s">
        <v>17</v>
      </c>
      <c r="B7" s="23" t="n">
        <f aca="false">Revenue!D7</f>
        <v>50</v>
      </c>
      <c r="C7" s="22" t="n">
        <f aca="false">Revenue!B7</f>
        <v>6000</v>
      </c>
      <c r="D7" s="22" t="n">
        <f aca="false">Revenue!E7</f>
        <v>300000</v>
      </c>
      <c r="E7" s="61" t="n">
        <v>2000</v>
      </c>
      <c r="F7" s="22" t="n">
        <f aca="false">E7*B7</f>
        <v>100000</v>
      </c>
      <c r="G7" s="22" t="n">
        <f aca="false">D7-F7</f>
        <v>200000</v>
      </c>
      <c r="H7" s="24" t="n">
        <f aca="false">IF(D7&gt;0,G7/D7,0)</f>
        <v>0.666666666666667</v>
      </c>
    </row>
    <row r="8" customFormat="false" ht="15" hidden="false" customHeight="true" outlineLevel="0" collapsed="false">
      <c r="A8" s="25" t="s">
        <v>18</v>
      </c>
      <c r="B8" s="27" t="n">
        <f aca="false">Revenue!D8</f>
        <v>100</v>
      </c>
      <c r="C8" s="26" t="n">
        <f aca="false">Revenue!B8</f>
        <v>25000</v>
      </c>
      <c r="D8" s="26" t="n">
        <f aca="false">Revenue!E8</f>
        <v>2500000</v>
      </c>
      <c r="E8" s="64" t="n">
        <v>5000</v>
      </c>
      <c r="F8" s="26" t="n">
        <f aca="false">E8*B8</f>
        <v>500000</v>
      </c>
      <c r="G8" s="26" t="n">
        <f aca="false">D8-F8</f>
        <v>2000000</v>
      </c>
      <c r="H8" s="28" t="n">
        <f aca="false">IF(D8&gt;0,G8/D8,0)</f>
        <v>0.8</v>
      </c>
    </row>
    <row r="9" customFormat="false" ht="15" hidden="false" customHeight="true" outlineLevel="0" collapsed="false">
      <c r="A9" s="21" t="s">
        <v>19</v>
      </c>
      <c r="B9" s="23" t="n">
        <f aca="false">Revenue!D9</f>
        <v>50</v>
      </c>
      <c r="C9" s="22" t="n">
        <f aca="false">Revenue!B9</f>
        <v>9000</v>
      </c>
      <c r="D9" s="22" t="n">
        <f aca="false">Revenue!E9</f>
        <v>450000</v>
      </c>
      <c r="E9" s="61" t="n">
        <v>2500</v>
      </c>
      <c r="F9" s="22" t="n">
        <f aca="false">E9*B9</f>
        <v>125000</v>
      </c>
      <c r="G9" s="22" t="n">
        <f aca="false">D9-F9</f>
        <v>325000</v>
      </c>
      <c r="H9" s="24" t="n">
        <f aca="false">IF(D9&gt;0,G9/D9,0)</f>
        <v>0.722222222222222</v>
      </c>
    </row>
    <row r="10" customFormat="false" ht="15" hidden="false" customHeight="true" outlineLevel="0" collapsed="false">
      <c r="A10" s="25" t="s">
        <v>20</v>
      </c>
      <c r="B10" s="27" t="n">
        <f aca="false">Revenue!D10</f>
        <v>20</v>
      </c>
      <c r="C10" s="26" t="n">
        <f aca="false">Revenue!B10</f>
        <v>15000</v>
      </c>
      <c r="D10" s="26" t="n">
        <f aca="false">Revenue!E10</f>
        <v>300000</v>
      </c>
      <c r="E10" s="64" t="n">
        <v>3000</v>
      </c>
      <c r="F10" s="26" t="n">
        <f aca="false">E10*B10</f>
        <v>60000</v>
      </c>
      <c r="G10" s="26" t="n">
        <f aca="false">D10-F10</f>
        <v>240000</v>
      </c>
      <c r="H10" s="28" t="n">
        <f aca="false">IF(D10&gt;0,G10/D10,0)</f>
        <v>0.8</v>
      </c>
    </row>
    <row r="11" customFormat="false" ht="15" hidden="false" customHeight="true" outlineLevel="0" collapsed="false">
      <c r="A11" s="29" t="s">
        <v>21</v>
      </c>
      <c r="B11" s="30" t="n">
        <f aca="false">SUM(B5:B10)</f>
        <v>420</v>
      </c>
      <c r="D11" s="31" t="n">
        <f aca="false">SUM(D5:D10)</f>
        <v>4350000</v>
      </c>
      <c r="F11" s="31" t="n">
        <f aca="false">SUM(F5:F10)</f>
        <v>1085000</v>
      </c>
      <c r="G11" s="31" t="n">
        <f aca="false">SUM(G5:G10)</f>
        <v>3265000</v>
      </c>
      <c r="H11" s="32" t="n">
        <f aca="false">IF(D11&gt;0,G11/D11,0)</f>
        <v>0.750574712643678</v>
      </c>
    </row>
    <row r="13" customFormat="false" ht="15" hidden="false" customHeight="true" outlineLevel="0" collapsed="false">
      <c r="A13" s="67" t="s">
        <v>106</v>
      </c>
      <c r="B13" s="67"/>
      <c r="C13" s="67"/>
      <c r="D13" s="67"/>
      <c r="E13" s="67"/>
      <c r="F13" s="67"/>
      <c r="G13" s="67"/>
      <c r="H13" s="67"/>
    </row>
    <row r="15" customFormat="false" ht="1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</row>
  </sheetData>
  <mergeCells count="4">
    <mergeCell ref="A1:H1"/>
    <mergeCell ref="A3:H3"/>
    <mergeCell ref="A13:H1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3"/>
    <col collapsed="false" customWidth="true" hidden="false" outlineLevel="0" max="15" min="14" style="1" width="16"/>
  </cols>
  <sheetData>
    <row r="1" customFormat="false" ht="30" hidden="false" customHeight="true" outlineLevel="0" collapsed="false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customFormat="false" ht="15.75" hidden="false" customHeight="true" outlineLevel="0" collapsed="false">
      <c r="A2" s="93" t="s">
        <v>108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customFormat="false" ht="18" hidden="false" customHeight="true" outlineLevel="0" collapsed="false">
      <c r="A3" s="33" t="s">
        <v>109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customFormat="false" ht="18" hidden="false" customHeight="true" outlineLevel="0" collapsed="false">
      <c r="A4" s="20" t="s">
        <v>8</v>
      </c>
      <c r="B4" s="20" t="s">
        <v>110</v>
      </c>
      <c r="C4" s="20" t="s">
        <v>111</v>
      </c>
      <c r="D4" s="20" t="s">
        <v>112</v>
      </c>
      <c r="E4" s="20" t="s">
        <v>113</v>
      </c>
      <c r="F4" s="20" t="s">
        <v>114</v>
      </c>
      <c r="G4" s="20" t="s">
        <v>115</v>
      </c>
      <c r="H4" s="20" t="s">
        <v>116</v>
      </c>
      <c r="I4" s="20" t="s">
        <v>117</v>
      </c>
      <c r="J4" s="20" t="s">
        <v>118</v>
      </c>
      <c r="K4" s="20" t="s">
        <v>119</v>
      </c>
      <c r="L4" s="20" t="s">
        <v>120</v>
      </c>
      <c r="M4" s="20" t="s">
        <v>121</v>
      </c>
      <c r="N4" s="20" t="s">
        <v>122</v>
      </c>
      <c r="O4" s="20" t="s">
        <v>123</v>
      </c>
    </row>
    <row r="5" customFormat="false" ht="15" hidden="false" customHeight="true" outlineLevel="0" collapsed="false">
      <c r="A5" s="21" t="s">
        <v>15</v>
      </c>
      <c r="B5" s="22" t="n">
        <v>33333</v>
      </c>
      <c r="C5" s="22" t="n">
        <v>33333</v>
      </c>
      <c r="D5" s="22" t="n">
        <v>33333</v>
      </c>
      <c r="E5" s="22" t="n">
        <v>33333</v>
      </c>
      <c r="F5" s="22" t="n">
        <v>33333</v>
      </c>
      <c r="G5" s="22" t="n">
        <v>33333</v>
      </c>
      <c r="H5" s="22" t="n">
        <v>33333</v>
      </c>
      <c r="I5" s="22" t="n">
        <v>33333</v>
      </c>
      <c r="J5" s="22" t="n">
        <v>33333</v>
      </c>
      <c r="K5" s="22" t="n">
        <v>33333</v>
      </c>
      <c r="L5" s="22" t="n">
        <v>33333</v>
      </c>
      <c r="M5" s="22" t="n">
        <v>33333</v>
      </c>
      <c r="N5" s="31" t="n">
        <f aca="false">SUM(B5:M5)</f>
        <v>399996</v>
      </c>
      <c r="O5" s="94" t="n">
        <f aca="false">Revenue!E5</f>
        <v>400000</v>
      </c>
    </row>
    <row r="6" customFormat="false" ht="15" hidden="false" customHeight="true" outlineLevel="0" collapsed="false">
      <c r="A6" s="25" t="s">
        <v>16</v>
      </c>
      <c r="B6" s="26" t="n">
        <v>33333</v>
      </c>
      <c r="C6" s="26" t="n">
        <v>33333</v>
      </c>
      <c r="D6" s="26" t="n">
        <v>33333</v>
      </c>
      <c r="E6" s="26" t="n">
        <v>33333</v>
      </c>
      <c r="F6" s="26" t="n">
        <v>33333</v>
      </c>
      <c r="G6" s="26" t="n">
        <v>33333</v>
      </c>
      <c r="H6" s="26" t="n">
        <v>33333</v>
      </c>
      <c r="I6" s="26" t="n">
        <v>33333</v>
      </c>
      <c r="J6" s="26" t="n">
        <v>33333</v>
      </c>
      <c r="K6" s="26" t="n">
        <v>33333</v>
      </c>
      <c r="L6" s="26" t="n">
        <v>33333</v>
      </c>
      <c r="M6" s="26" t="n">
        <v>33333</v>
      </c>
      <c r="N6" s="31" t="n">
        <f aca="false">SUM(B6:M6)</f>
        <v>399996</v>
      </c>
      <c r="O6" s="94" t="n">
        <f aca="false">Revenue!E6</f>
        <v>400000</v>
      </c>
    </row>
    <row r="7" customFormat="false" ht="15" hidden="false" customHeight="true" outlineLevel="0" collapsed="false">
      <c r="A7" s="21" t="s">
        <v>17</v>
      </c>
      <c r="B7" s="22" t="n">
        <v>25000</v>
      </c>
      <c r="C7" s="22" t="n">
        <v>25000</v>
      </c>
      <c r="D7" s="22" t="n">
        <v>25000</v>
      </c>
      <c r="E7" s="22" t="n">
        <v>25000</v>
      </c>
      <c r="F7" s="22" t="n">
        <v>25000</v>
      </c>
      <c r="G7" s="22" t="n">
        <v>25000</v>
      </c>
      <c r="H7" s="22" t="n">
        <v>25000</v>
      </c>
      <c r="I7" s="22" t="n">
        <v>25000</v>
      </c>
      <c r="J7" s="22" t="n">
        <v>25000</v>
      </c>
      <c r="K7" s="22" t="n">
        <v>25000</v>
      </c>
      <c r="L7" s="22" t="n">
        <v>25000</v>
      </c>
      <c r="M7" s="22" t="n">
        <v>25000</v>
      </c>
      <c r="N7" s="31" t="n">
        <f aca="false">SUM(B7:M7)</f>
        <v>300000</v>
      </c>
      <c r="O7" s="94" t="n">
        <f aca="false">Revenue!E7</f>
        <v>300000</v>
      </c>
    </row>
    <row r="8" customFormat="false" ht="15" hidden="false" customHeight="true" outlineLevel="0" collapsed="false">
      <c r="A8" s="25" t="s">
        <v>18</v>
      </c>
      <c r="B8" s="26" t="n">
        <v>208333</v>
      </c>
      <c r="C8" s="26" t="n">
        <v>208333</v>
      </c>
      <c r="D8" s="26" t="n">
        <v>208333</v>
      </c>
      <c r="E8" s="26" t="n">
        <v>208333</v>
      </c>
      <c r="F8" s="26" t="n">
        <v>208333</v>
      </c>
      <c r="G8" s="26" t="n">
        <v>208333</v>
      </c>
      <c r="H8" s="26" t="n">
        <v>208333</v>
      </c>
      <c r="I8" s="26" t="n">
        <v>208333</v>
      </c>
      <c r="J8" s="26" t="n">
        <v>208333</v>
      </c>
      <c r="K8" s="26" t="n">
        <v>208333</v>
      </c>
      <c r="L8" s="26" t="n">
        <v>208333</v>
      </c>
      <c r="M8" s="26" t="n">
        <v>208333</v>
      </c>
      <c r="N8" s="31" t="n">
        <f aca="false">SUM(B8:M8)</f>
        <v>2499996</v>
      </c>
      <c r="O8" s="94" t="n">
        <f aca="false">Revenue!E8</f>
        <v>2500000</v>
      </c>
    </row>
    <row r="9" customFormat="false" ht="15" hidden="false" customHeight="true" outlineLevel="0" collapsed="false">
      <c r="A9" s="21" t="s">
        <v>19</v>
      </c>
      <c r="B9" s="22" t="n">
        <v>37500</v>
      </c>
      <c r="C9" s="22" t="n">
        <v>37500</v>
      </c>
      <c r="D9" s="22" t="n">
        <v>37500</v>
      </c>
      <c r="E9" s="22" t="n">
        <v>37500</v>
      </c>
      <c r="F9" s="22" t="n">
        <v>37500</v>
      </c>
      <c r="G9" s="22" t="n">
        <v>37500</v>
      </c>
      <c r="H9" s="22" t="n">
        <v>37500</v>
      </c>
      <c r="I9" s="22" t="n">
        <v>37500</v>
      </c>
      <c r="J9" s="22" t="n">
        <v>37500</v>
      </c>
      <c r="K9" s="22" t="n">
        <v>37500</v>
      </c>
      <c r="L9" s="22" t="n">
        <v>37500</v>
      </c>
      <c r="M9" s="22" t="n">
        <v>37500</v>
      </c>
      <c r="N9" s="31" t="n">
        <f aca="false">SUM(B9:M9)</f>
        <v>450000</v>
      </c>
      <c r="O9" s="94" t="n">
        <f aca="false">Revenue!E9</f>
        <v>450000</v>
      </c>
    </row>
    <row r="10" customFormat="false" ht="15" hidden="false" customHeight="true" outlineLevel="0" collapsed="false">
      <c r="A10" s="25" t="s">
        <v>20</v>
      </c>
      <c r="B10" s="26" t="n">
        <v>25000</v>
      </c>
      <c r="C10" s="26" t="n">
        <v>25000</v>
      </c>
      <c r="D10" s="26" t="n">
        <v>25000</v>
      </c>
      <c r="E10" s="26" t="n">
        <v>25000</v>
      </c>
      <c r="F10" s="26" t="n">
        <v>25000</v>
      </c>
      <c r="G10" s="26" t="n">
        <v>25000</v>
      </c>
      <c r="H10" s="26" t="n">
        <v>25000</v>
      </c>
      <c r="I10" s="26" t="n">
        <v>25000</v>
      </c>
      <c r="J10" s="26" t="n">
        <v>25000</v>
      </c>
      <c r="K10" s="26" t="n">
        <v>25000</v>
      </c>
      <c r="L10" s="26" t="n">
        <v>25000</v>
      </c>
      <c r="M10" s="26" t="n">
        <v>25000</v>
      </c>
      <c r="N10" s="31" t="n">
        <f aca="false">SUM(B10:M10)</f>
        <v>300000</v>
      </c>
      <c r="O10" s="94" t="n">
        <f aca="false">Revenue!E10</f>
        <v>300000</v>
      </c>
    </row>
    <row r="11" customFormat="false" ht="15" hidden="false" customHeight="true" outlineLevel="0" collapsed="false">
      <c r="A11" s="29" t="s">
        <v>2</v>
      </c>
      <c r="B11" s="31" t="n">
        <f aca="false">SUM(B5:B10)</f>
        <v>362499</v>
      </c>
      <c r="C11" s="31" t="n">
        <f aca="false">SUM(C5:C10)</f>
        <v>362499</v>
      </c>
      <c r="D11" s="31" t="n">
        <f aca="false">SUM(D5:D10)</f>
        <v>362499</v>
      </c>
      <c r="E11" s="31" t="n">
        <f aca="false">SUM(E5:E10)</f>
        <v>362499</v>
      </c>
      <c r="F11" s="31" t="n">
        <f aca="false">SUM(F5:F10)</f>
        <v>362499</v>
      </c>
      <c r="G11" s="31" t="n">
        <f aca="false">SUM(G5:G10)</f>
        <v>362499</v>
      </c>
      <c r="H11" s="31" t="n">
        <f aca="false">SUM(H5:H10)</f>
        <v>362499</v>
      </c>
      <c r="I11" s="31" t="n">
        <f aca="false">SUM(I5:I10)</f>
        <v>362499</v>
      </c>
      <c r="J11" s="31" t="n">
        <f aca="false">SUM(J5:J10)</f>
        <v>362499</v>
      </c>
      <c r="K11" s="31" t="n">
        <f aca="false">SUM(K5:K10)</f>
        <v>362499</v>
      </c>
      <c r="L11" s="31" t="n">
        <f aca="false">SUM(L5:L10)</f>
        <v>362499</v>
      </c>
      <c r="M11" s="31" t="n">
        <f aca="false">SUM(M5:M10)</f>
        <v>362499</v>
      </c>
      <c r="N11" s="31" t="n">
        <f aca="false">SUM(B11:M11)</f>
        <v>4349988</v>
      </c>
      <c r="O11" s="31" t="n">
        <f aca="false">Revenue!E11</f>
        <v>4350000</v>
      </c>
    </row>
    <row r="12" customFormat="false" ht="15" hidden="false" customHeight="true" outlineLevel="0" collapsed="false">
      <c r="A12" s="95" t="s">
        <v>124</v>
      </c>
      <c r="B12" s="96" t="n">
        <f aca="false">B11*0.05</f>
        <v>18124.95</v>
      </c>
      <c r="C12" s="96" t="n">
        <f aca="false">C11*0.05</f>
        <v>18124.95</v>
      </c>
      <c r="D12" s="96" t="n">
        <f aca="false">D11*0.05</f>
        <v>18124.95</v>
      </c>
      <c r="E12" s="96" t="n">
        <f aca="false">E11*0.05</f>
        <v>18124.95</v>
      </c>
      <c r="F12" s="96" t="n">
        <f aca="false">F11*0.05</f>
        <v>18124.95</v>
      </c>
      <c r="G12" s="96" t="n">
        <f aca="false">G11*0.05</f>
        <v>18124.95</v>
      </c>
      <c r="H12" s="96" t="n">
        <f aca="false">H11*0.05</f>
        <v>18124.95</v>
      </c>
      <c r="I12" s="96" t="n">
        <f aca="false">I11*0.05</f>
        <v>18124.95</v>
      </c>
      <c r="J12" s="96" t="n">
        <f aca="false">J11*0.05</f>
        <v>18124.95</v>
      </c>
      <c r="K12" s="96" t="n">
        <f aca="false">K11*0.05</f>
        <v>18124.95</v>
      </c>
      <c r="L12" s="96" t="n">
        <f aca="false">L11*0.05</f>
        <v>18124.95</v>
      </c>
      <c r="M12" s="96" t="n">
        <f aca="false">M11*0.05</f>
        <v>18124.95</v>
      </c>
      <c r="N12" s="97" t="n">
        <f aca="false">SUM(B12:M12)</f>
        <v>217499.4</v>
      </c>
      <c r="O12" s="98" t="n">
        <f aca="false">Revenue!F11</f>
        <v>217500</v>
      </c>
    </row>
    <row r="13" customFormat="false" ht="15" hidden="false" customHeight="true" outlineLevel="0" collapsed="false">
      <c r="A13" s="99" t="s">
        <v>3</v>
      </c>
      <c r="B13" s="100" t="n">
        <f aca="false">B11-B12</f>
        <v>344374.05</v>
      </c>
      <c r="C13" s="100" t="n">
        <f aca="false">C11-C12</f>
        <v>344374.05</v>
      </c>
      <c r="D13" s="100" t="n">
        <f aca="false">D11-D12</f>
        <v>344374.05</v>
      </c>
      <c r="E13" s="100" t="n">
        <f aca="false">E11-E12</f>
        <v>344374.05</v>
      </c>
      <c r="F13" s="100" t="n">
        <f aca="false">F11-F12</f>
        <v>344374.05</v>
      </c>
      <c r="G13" s="100" t="n">
        <f aca="false">G11-G12</f>
        <v>344374.05</v>
      </c>
      <c r="H13" s="100" t="n">
        <f aca="false">H11-H12</f>
        <v>344374.05</v>
      </c>
      <c r="I13" s="100" t="n">
        <f aca="false">I11-I12</f>
        <v>344374.05</v>
      </c>
      <c r="J13" s="100" t="n">
        <f aca="false">J11-J12</f>
        <v>344374.05</v>
      </c>
      <c r="K13" s="100" t="n">
        <f aca="false">K11-K12</f>
        <v>344374.05</v>
      </c>
      <c r="L13" s="100" t="n">
        <f aca="false">L11-L12</f>
        <v>344374.05</v>
      </c>
      <c r="M13" s="100" t="n">
        <f aca="false">M11-M12</f>
        <v>344374.05</v>
      </c>
      <c r="N13" s="100" t="n">
        <f aca="false">SUM(B13:M13)</f>
        <v>4132488.6</v>
      </c>
      <c r="O13" s="100" t="n">
        <f aca="false">Revenue!G11</f>
        <v>4132500</v>
      </c>
    </row>
    <row r="15" customFormat="false" ht="18" hidden="false" customHeight="true" outlineLevel="0" collapsed="false">
      <c r="A15" s="33" t="s">
        <v>125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customFormat="false" ht="15" hidden="false" customHeight="true" outlineLevel="0" collapsed="false">
      <c r="A16" s="21" t="s">
        <v>126</v>
      </c>
      <c r="B16" s="22" t="n">
        <f aca="false">(Expenses!C5+Expenses!C6)/12</f>
        <v>70000</v>
      </c>
      <c r="C16" s="22" t="n">
        <f aca="false">(Expenses!C5+Expenses!C6)/12</f>
        <v>70000</v>
      </c>
      <c r="D16" s="22" t="n">
        <f aca="false">(Expenses!C5+Expenses!C6)/12</f>
        <v>70000</v>
      </c>
      <c r="E16" s="22" t="n">
        <f aca="false">(Expenses!C5+Expenses!C6)/12</f>
        <v>70000</v>
      </c>
      <c r="F16" s="22" t="n">
        <f aca="false">(Expenses!C5+Expenses!C6)/12</f>
        <v>70000</v>
      </c>
      <c r="G16" s="22" t="n">
        <f aca="false">(Expenses!C5+Expenses!C6)/12</f>
        <v>70000</v>
      </c>
      <c r="H16" s="22" t="n">
        <f aca="false">(Expenses!C5+Expenses!C6)/12</f>
        <v>70000</v>
      </c>
      <c r="I16" s="22" t="n">
        <f aca="false">(Expenses!C5+Expenses!C6)/12</f>
        <v>70000</v>
      </c>
      <c r="J16" s="22" t="n">
        <f aca="false">(Expenses!C5+Expenses!C6)/12</f>
        <v>70000</v>
      </c>
      <c r="K16" s="22" t="n">
        <f aca="false">(Expenses!C5+Expenses!C6)/12</f>
        <v>70000</v>
      </c>
      <c r="L16" s="22" t="n">
        <f aca="false">(Expenses!C5+Expenses!C6)/12</f>
        <v>70000</v>
      </c>
      <c r="M16" s="22" t="n">
        <f aca="false">(Expenses!C5+Expenses!C6)/12</f>
        <v>70000</v>
      </c>
      <c r="N16" s="31" t="n">
        <f aca="false">SUM(B16:M16)</f>
        <v>840000</v>
      </c>
      <c r="O16" s="94" t="n">
        <f aca="false">(Expenses!C5+Expenses!C6)</f>
        <v>840000</v>
      </c>
    </row>
    <row r="17" customFormat="false" ht="15" hidden="false" customHeight="true" outlineLevel="0" collapsed="false">
      <c r="A17" s="25" t="s">
        <v>27</v>
      </c>
      <c r="B17" s="26" t="n">
        <f aca="false">Expenses!C7/12</f>
        <v>20000</v>
      </c>
      <c r="C17" s="26" t="n">
        <f aca="false">Expenses!C7/12</f>
        <v>20000</v>
      </c>
      <c r="D17" s="26" t="n">
        <f aca="false">Expenses!C7/12</f>
        <v>20000</v>
      </c>
      <c r="E17" s="26" t="n">
        <f aca="false">Expenses!C7/12</f>
        <v>20000</v>
      </c>
      <c r="F17" s="26" t="n">
        <f aca="false">Expenses!C7/12</f>
        <v>20000</v>
      </c>
      <c r="G17" s="26" t="n">
        <f aca="false">Expenses!C7/12</f>
        <v>20000</v>
      </c>
      <c r="H17" s="26" t="n">
        <f aca="false">Expenses!C7/12</f>
        <v>20000</v>
      </c>
      <c r="I17" s="26" t="n">
        <f aca="false">Expenses!C7/12</f>
        <v>20000</v>
      </c>
      <c r="J17" s="26" t="n">
        <f aca="false">Expenses!C7/12</f>
        <v>20000</v>
      </c>
      <c r="K17" s="26" t="n">
        <f aca="false">Expenses!C7/12</f>
        <v>20000</v>
      </c>
      <c r="L17" s="26" t="n">
        <f aca="false">Expenses!C7/12</f>
        <v>20000</v>
      </c>
      <c r="M17" s="26" t="n">
        <f aca="false">Expenses!C7/12</f>
        <v>20000</v>
      </c>
      <c r="N17" s="31" t="n">
        <f aca="false">SUM(B17:M17)</f>
        <v>240000</v>
      </c>
      <c r="O17" s="94" t="n">
        <f aca="false">Expenses!C7</f>
        <v>240000</v>
      </c>
    </row>
    <row r="18" customFormat="false" ht="15" hidden="false" customHeight="true" outlineLevel="0" collapsed="false">
      <c r="A18" s="21" t="s">
        <v>28</v>
      </c>
      <c r="B18" s="22" t="n">
        <f aca="false">Expenses!C8/12</f>
        <v>30000</v>
      </c>
      <c r="C18" s="22" t="n">
        <f aca="false">Expenses!C8/12</f>
        <v>30000</v>
      </c>
      <c r="D18" s="22" t="n">
        <f aca="false">Expenses!C8/12</f>
        <v>30000</v>
      </c>
      <c r="E18" s="22" t="n">
        <f aca="false">Expenses!C8/12</f>
        <v>30000</v>
      </c>
      <c r="F18" s="22" t="n">
        <f aca="false">Expenses!C8/12</f>
        <v>30000</v>
      </c>
      <c r="G18" s="22" t="n">
        <f aca="false">Expenses!C8/12</f>
        <v>30000</v>
      </c>
      <c r="H18" s="22" t="n">
        <f aca="false">Expenses!C8/12</f>
        <v>30000</v>
      </c>
      <c r="I18" s="22" t="n">
        <f aca="false">Expenses!C8/12</f>
        <v>30000</v>
      </c>
      <c r="J18" s="22" t="n">
        <f aca="false">Expenses!C8/12</f>
        <v>30000</v>
      </c>
      <c r="K18" s="22" t="n">
        <f aca="false">Expenses!C8/12</f>
        <v>30000</v>
      </c>
      <c r="L18" s="22" t="n">
        <f aca="false">Expenses!C8/12</f>
        <v>30000</v>
      </c>
      <c r="M18" s="22" t="n">
        <f aca="false">Expenses!C8/12</f>
        <v>30000</v>
      </c>
      <c r="N18" s="31" t="n">
        <f aca="false">SUM(B18:M18)</f>
        <v>360000</v>
      </c>
      <c r="O18" s="94" t="n">
        <f aca="false">Expenses!C8</f>
        <v>360000</v>
      </c>
    </row>
    <row r="19" customFormat="false" ht="15" hidden="false" customHeight="true" outlineLevel="0" collapsed="false">
      <c r="A19" s="25" t="s">
        <v>29</v>
      </c>
      <c r="B19" s="64" t="n">
        <f aca="false">Expenses!C9</f>
        <v>200000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31" t="n">
        <f aca="false">SUM(B19:M19)</f>
        <v>200000</v>
      </c>
      <c r="O19" s="94" t="n">
        <f aca="false">Expenses!C9</f>
        <v>200000</v>
      </c>
    </row>
    <row r="20" customFormat="false" ht="15" hidden="false" customHeight="true" outlineLevel="0" collapsed="false">
      <c r="A20" s="21" t="s">
        <v>127</v>
      </c>
      <c r="B20" s="101" t="n">
        <f aca="false">B12</f>
        <v>18124.95</v>
      </c>
      <c r="C20" s="101" t="n">
        <f aca="false">C12</f>
        <v>18124.95</v>
      </c>
      <c r="D20" s="101" t="n">
        <f aca="false">D12</f>
        <v>18124.95</v>
      </c>
      <c r="E20" s="101" t="n">
        <f aca="false">E12</f>
        <v>18124.95</v>
      </c>
      <c r="F20" s="101" t="n">
        <f aca="false">F12</f>
        <v>18124.95</v>
      </c>
      <c r="G20" s="101" t="n">
        <f aca="false">G12</f>
        <v>18124.95</v>
      </c>
      <c r="H20" s="101" t="n">
        <f aca="false">H12</f>
        <v>18124.95</v>
      </c>
      <c r="I20" s="101" t="n">
        <f aca="false">I12</f>
        <v>18124.95</v>
      </c>
      <c r="J20" s="101" t="n">
        <f aca="false">J12</f>
        <v>18124.95</v>
      </c>
      <c r="K20" s="101" t="n">
        <f aca="false">K12</f>
        <v>18124.95</v>
      </c>
      <c r="L20" s="101" t="n">
        <f aca="false">L12</f>
        <v>18124.95</v>
      </c>
      <c r="M20" s="101" t="n">
        <f aca="false">M12</f>
        <v>18124.95</v>
      </c>
      <c r="N20" s="31" t="n">
        <f aca="false">SUM(B20:M20)</f>
        <v>217499.4</v>
      </c>
      <c r="O20" s="94" t="n">
        <f aca="false">Expenses!C10</f>
        <v>300000</v>
      </c>
    </row>
    <row r="21" customFormat="false" ht="15" hidden="false" customHeight="true" outlineLevel="0" collapsed="false">
      <c r="A21" s="25" t="s">
        <v>31</v>
      </c>
      <c r="B21" s="26" t="n">
        <f aca="false">Expenses!C11/12</f>
        <v>8333.33333333333</v>
      </c>
      <c r="C21" s="26" t="n">
        <f aca="false">Expenses!C11/12</f>
        <v>8333.33333333333</v>
      </c>
      <c r="D21" s="26" t="n">
        <f aca="false">Expenses!C11/12</f>
        <v>8333.33333333333</v>
      </c>
      <c r="E21" s="26" t="n">
        <f aca="false">Expenses!C11/12</f>
        <v>8333.33333333333</v>
      </c>
      <c r="F21" s="26" t="n">
        <f aca="false">Expenses!C11/12</f>
        <v>8333.33333333333</v>
      </c>
      <c r="G21" s="26" t="n">
        <f aca="false">Expenses!C11/12</f>
        <v>8333.33333333333</v>
      </c>
      <c r="H21" s="26" t="n">
        <f aca="false">Expenses!C11/12</f>
        <v>8333.33333333333</v>
      </c>
      <c r="I21" s="26" t="n">
        <f aca="false">Expenses!C11/12</f>
        <v>8333.33333333333</v>
      </c>
      <c r="J21" s="26" t="n">
        <f aca="false">Expenses!C11/12</f>
        <v>8333.33333333333</v>
      </c>
      <c r="K21" s="26" t="n">
        <f aca="false">Expenses!C11/12</f>
        <v>8333.33333333333</v>
      </c>
      <c r="L21" s="26" t="n">
        <f aca="false">Expenses!C11/12</f>
        <v>8333.33333333333</v>
      </c>
      <c r="M21" s="26" t="n">
        <f aca="false">Expenses!C11/12</f>
        <v>8333.33333333333</v>
      </c>
      <c r="N21" s="31" t="n">
        <f aca="false">SUM(B21:M21)</f>
        <v>100000</v>
      </c>
      <c r="O21" s="94" t="n">
        <f aca="false">Expenses!C11</f>
        <v>100000</v>
      </c>
    </row>
    <row r="22" customFormat="false" ht="15" hidden="false" customHeight="true" outlineLevel="0" collapsed="false">
      <c r="A22" s="21" t="s">
        <v>128</v>
      </c>
      <c r="B22" s="22" t="n">
        <f aca="false">Expenses!C12/12</f>
        <v>170000</v>
      </c>
      <c r="C22" s="22" t="n">
        <f aca="false">Expenses!C12/12</f>
        <v>170000</v>
      </c>
      <c r="D22" s="22" t="n">
        <f aca="false">Expenses!C12/12</f>
        <v>170000</v>
      </c>
      <c r="E22" s="22" t="n">
        <f aca="false">Expenses!C12/12</f>
        <v>170000</v>
      </c>
      <c r="F22" s="22" t="n">
        <f aca="false">Expenses!C12/12</f>
        <v>170000</v>
      </c>
      <c r="G22" s="22" t="n">
        <f aca="false">Expenses!C12/12</f>
        <v>170000</v>
      </c>
      <c r="H22" s="22" t="n">
        <f aca="false">Expenses!C12/12</f>
        <v>170000</v>
      </c>
      <c r="I22" s="22" t="n">
        <f aca="false">Expenses!C12/12</f>
        <v>170000</v>
      </c>
      <c r="J22" s="22" t="n">
        <f aca="false">Expenses!C12/12</f>
        <v>170000</v>
      </c>
      <c r="K22" s="22" t="n">
        <f aca="false">Expenses!C12/12</f>
        <v>170000</v>
      </c>
      <c r="L22" s="22" t="n">
        <f aca="false">Expenses!C12/12</f>
        <v>170000</v>
      </c>
      <c r="M22" s="22" t="n">
        <f aca="false">Expenses!C12/12</f>
        <v>170000</v>
      </c>
      <c r="N22" s="31" t="n">
        <f aca="false">SUM(B22:M22)</f>
        <v>2040000</v>
      </c>
      <c r="O22" s="94" t="n">
        <f aca="false">Expenses!C12</f>
        <v>2040000</v>
      </c>
    </row>
    <row r="23" customFormat="false" ht="15" hidden="false" customHeight="true" outlineLevel="0" collapsed="false">
      <c r="A23" s="102" t="s">
        <v>129</v>
      </c>
      <c r="B23" s="103" t="n">
        <f aca="false">SUM(B16:B22)</f>
        <v>516458.283333333</v>
      </c>
      <c r="C23" s="103" t="n">
        <f aca="false">SUM(C16:C22)</f>
        <v>316458.283333333</v>
      </c>
      <c r="D23" s="103" t="n">
        <f aca="false">SUM(D16:D22)</f>
        <v>316458.283333333</v>
      </c>
      <c r="E23" s="103" t="n">
        <f aca="false">SUM(E16:E22)</f>
        <v>316458.283333333</v>
      </c>
      <c r="F23" s="103" t="n">
        <f aca="false">SUM(F16:F22)</f>
        <v>316458.283333333</v>
      </c>
      <c r="G23" s="103" t="n">
        <f aca="false">SUM(G16:G22)</f>
        <v>316458.283333333</v>
      </c>
      <c r="H23" s="103" t="n">
        <f aca="false">SUM(H16:H22)</f>
        <v>316458.283333333</v>
      </c>
      <c r="I23" s="103" t="n">
        <f aca="false">SUM(I16:I22)</f>
        <v>316458.283333333</v>
      </c>
      <c r="J23" s="103" t="n">
        <f aca="false">SUM(J16:J22)</f>
        <v>316458.283333333</v>
      </c>
      <c r="K23" s="103" t="n">
        <f aca="false">SUM(K16:K22)</f>
        <v>316458.283333333</v>
      </c>
      <c r="L23" s="103" t="n">
        <f aca="false">SUM(L16:L22)</f>
        <v>316458.283333333</v>
      </c>
      <c r="M23" s="103" t="n">
        <f aca="false">SUM(M16:M22)</f>
        <v>316458.283333333</v>
      </c>
      <c r="N23" s="103" t="n">
        <f aca="false">SUM(B23:M23)</f>
        <v>3997499.4</v>
      </c>
      <c r="O23" s="103" t="n">
        <f aca="false">Expenses!C13</f>
        <v>0</v>
      </c>
    </row>
    <row r="24" customFormat="false" ht="6" hidden="false" customHeight="true" outlineLevel="0" collapsed="false"/>
    <row r="25" customFormat="false" ht="15" hidden="false" customHeight="true" outlineLevel="0" collapsed="false">
      <c r="A25" s="104" t="s">
        <v>130</v>
      </c>
      <c r="B25" s="105" t="n">
        <f aca="false">B13-B23</f>
        <v>-172084.233333333</v>
      </c>
      <c r="C25" s="105" t="n">
        <f aca="false">C13-C23</f>
        <v>27915.7666666667</v>
      </c>
      <c r="D25" s="105" t="n">
        <f aca="false">D13-D23</f>
        <v>27915.7666666667</v>
      </c>
      <c r="E25" s="105" t="n">
        <f aca="false">E13-E23</f>
        <v>27915.7666666667</v>
      </c>
      <c r="F25" s="105" t="n">
        <f aca="false">F13-F23</f>
        <v>27915.7666666667</v>
      </c>
      <c r="G25" s="105" t="n">
        <f aca="false">G13-G23</f>
        <v>27915.7666666667</v>
      </c>
      <c r="H25" s="105" t="n">
        <f aca="false">H13-H23</f>
        <v>27915.7666666667</v>
      </c>
      <c r="I25" s="105" t="n">
        <f aca="false">I13-I23</f>
        <v>27915.7666666667</v>
      </c>
      <c r="J25" s="105" t="n">
        <f aca="false">J13-J23</f>
        <v>27915.7666666667</v>
      </c>
      <c r="K25" s="105" t="n">
        <f aca="false">K13-K23</f>
        <v>27915.7666666667</v>
      </c>
      <c r="L25" s="105" t="n">
        <f aca="false">L13-L23</f>
        <v>27915.7666666667</v>
      </c>
      <c r="M25" s="105" t="n">
        <f aca="false">M13-M23</f>
        <v>27915.7666666667</v>
      </c>
      <c r="N25" s="105" t="n">
        <f aca="false">SUM(B25:M25)</f>
        <v>134989.2</v>
      </c>
    </row>
    <row r="26" customFormat="false" ht="15" hidden="false" customHeight="true" outlineLevel="0" collapsed="false">
      <c r="A26" s="106" t="s">
        <v>131</v>
      </c>
      <c r="B26" s="107" t="n">
        <f aca="false">B25</f>
        <v>-172084.233333333</v>
      </c>
      <c r="C26" s="107" t="n">
        <f aca="false">B26+C25</f>
        <v>-144168.466666667</v>
      </c>
      <c r="D26" s="107" t="n">
        <f aca="false">C26+D25</f>
        <v>-116252.7</v>
      </c>
      <c r="E26" s="107" t="n">
        <f aca="false">D26+E25</f>
        <v>-88336.9333333334</v>
      </c>
      <c r="F26" s="107" t="n">
        <f aca="false">E26+F25</f>
        <v>-60421.1666666667</v>
      </c>
      <c r="G26" s="107" t="n">
        <f aca="false">F26+G25</f>
        <v>-32505.4</v>
      </c>
      <c r="H26" s="107" t="n">
        <f aca="false">G26+H25</f>
        <v>-4589.63333333336</v>
      </c>
      <c r="I26" s="107" t="n">
        <f aca="false">H26+I25</f>
        <v>23326.1333333333</v>
      </c>
      <c r="J26" s="107" t="n">
        <f aca="false">I26+J25</f>
        <v>51241.9</v>
      </c>
      <c r="K26" s="107" t="n">
        <f aca="false">J26+K25</f>
        <v>79157.6666666666</v>
      </c>
      <c r="L26" s="107" t="n">
        <f aca="false">K26+L25</f>
        <v>107073.433333333</v>
      </c>
      <c r="M26" s="107" t="n">
        <f aca="false">L26+M25</f>
        <v>134989.2</v>
      </c>
      <c r="N26" s="107" t="n">
        <f aca="false">M26</f>
        <v>134989.2</v>
      </c>
    </row>
    <row r="28" customFormat="false" ht="7.5" hidden="false" customHeight="true" outlineLevel="0" collapsed="false"/>
    <row r="29" customFormat="false" ht="18" hidden="false" customHeight="true" outlineLevel="0" collapsed="false">
      <c r="A29" s="33" t="s">
        <v>132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customFormat="false" ht="15" hidden="false" customHeight="true" outlineLevel="0" collapsed="false">
      <c r="A30" s="20" t="s">
        <v>8</v>
      </c>
      <c r="B30" s="20" t="s">
        <v>49</v>
      </c>
      <c r="C30" s="20" t="s">
        <v>10</v>
      </c>
      <c r="D30" s="20" t="s">
        <v>133</v>
      </c>
      <c r="E30" s="20" t="s">
        <v>134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customFormat="false" ht="15" hidden="false" customHeight="true" outlineLevel="0" collapsed="false">
      <c r="A31" s="21" t="s">
        <v>15</v>
      </c>
      <c r="B31" s="62" t="s">
        <v>54</v>
      </c>
      <c r="C31" s="108" t="n">
        <v>100</v>
      </c>
      <c r="D31" s="108" t="n">
        <v>4</v>
      </c>
      <c r="E31" s="109" t="s">
        <v>135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09"/>
    </row>
    <row r="32" customFormat="false" ht="15" hidden="false" customHeight="true" outlineLevel="0" collapsed="false">
      <c r="A32" s="25" t="s">
        <v>16</v>
      </c>
      <c r="B32" s="65" t="s">
        <v>54</v>
      </c>
      <c r="C32" s="110" t="n">
        <v>100</v>
      </c>
      <c r="D32" s="110" t="n">
        <v>4</v>
      </c>
      <c r="E32" s="111" t="s">
        <v>135</v>
      </c>
      <c r="F32" s="111"/>
      <c r="G32" s="111"/>
      <c r="H32" s="111"/>
      <c r="I32" s="111"/>
      <c r="J32" s="111"/>
      <c r="K32" s="111"/>
      <c r="L32" s="111"/>
      <c r="M32" s="111"/>
      <c r="N32" s="111"/>
      <c r="O32" s="111"/>
    </row>
    <row r="33" customFormat="false" ht="15" hidden="false" customHeight="true" outlineLevel="0" collapsed="false">
      <c r="A33" s="21" t="s">
        <v>17</v>
      </c>
      <c r="B33" s="62" t="s">
        <v>54</v>
      </c>
      <c r="C33" s="108" t="n">
        <v>50</v>
      </c>
      <c r="D33" s="108" t="n">
        <v>4</v>
      </c>
      <c r="E33" s="109" t="s">
        <v>136</v>
      </c>
      <c r="F33" s="109"/>
      <c r="G33" s="109"/>
      <c r="H33" s="109"/>
      <c r="I33" s="109"/>
      <c r="J33" s="109"/>
      <c r="K33" s="109"/>
      <c r="L33" s="109"/>
      <c r="M33" s="109"/>
      <c r="N33" s="109"/>
      <c r="O33" s="109"/>
    </row>
    <row r="34" customFormat="false" ht="15" hidden="false" customHeight="true" outlineLevel="0" collapsed="false">
      <c r="A34" s="25" t="s">
        <v>18</v>
      </c>
      <c r="B34" s="65" t="s">
        <v>56</v>
      </c>
      <c r="C34" s="110" t="n">
        <v>100</v>
      </c>
      <c r="D34" s="110" t="n">
        <v>2</v>
      </c>
      <c r="E34" s="111" t="s">
        <v>137</v>
      </c>
      <c r="F34" s="111"/>
      <c r="G34" s="111"/>
      <c r="H34" s="111"/>
      <c r="I34" s="111"/>
      <c r="J34" s="111"/>
      <c r="K34" s="111"/>
      <c r="L34" s="111"/>
      <c r="M34" s="111"/>
      <c r="N34" s="111"/>
      <c r="O34" s="111"/>
    </row>
    <row r="35" customFormat="false" ht="15" hidden="false" customHeight="true" outlineLevel="0" collapsed="false">
      <c r="A35" s="21" t="s">
        <v>19</v>
      </c>
      <c r="B35" s="62" t="s">
        <v>56</v>
      </c>
      <c r="C35" s="108" t="n">
        <v>50</v>
      </c>
      <c r="D35" s="108" t="n">
        <v>2</v>
      </c>
      <c r="E35" s="109" t="s">
        <v>138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customFormat="false" ht="15" hidden="false" customHeight="true" outlineLevel="0" collapsed="false">
      <c r="A36" s="25" t="s">
        <v>20</v>
      </c>
      <c r="B36" s="65" t="s">
        <v>54</v>
      </c>
      <c r="C36" s="110" t="n">
        <v>20</v>
      </c>
      <c r="D36" s="110" t="n">
        <v>4</v>
      </c>
      <c r="E36" s="111" t="s">
        <v>139</v>
      </c>
      <c r="F36" s="111"/>
      <c r="G36" s="111"/>
      <c r="H36" s="111"/>
      <c r="I36" s="111"/>
      <c r="J36" s="111"/>
      <c r="K36" s="111"/>
      <c r="L36" s="111"/>
      <c r="M36" s="111"/>
      <c r="N36" s="111"/>
      <c r="O36" s="111"/>
    </row>
  </sheetData>
  <mergeCells count="12">
    <mergeCell ref="A1:O1"/>
    <mergeCell ref="A2:O2"/>
    <mergeCell ref="A3:O3"/>
    <mergeCell ref="A15:O15"/>
    <mergeCell ref="A29:O29"/>
    <mergeCell ref="E30:O30"/>
    <mergeCell ref="E31:O31"/>
    <mergeCell ref="E32:O32"/>
    <mergeCell ref="E33:O33"/>
    <mergeCell ref="E34:O34"/>
    <mergeCell ref="E35:O35"/>
    <mergeCell ref="E36:O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42"/>
  </cols>
  <sheetData>
    <row r="1" customFormat="false" ht="27.75" hidden="false" customHeight="true" outlineLevel="0" collapsed="false">
      <c r="A1" s="60" t="s">
        <v>140</v>
      </c>
      <c r="B1" s="60"/>
      <c r="C1" s="60"/>
      <c r="D1" s="60"/>
    </row>
    <row r="3" customFormat="false" ht="19.5" hidden="false" customHeight="true" outlineLevel="0" collapsed="false">
      <c r="A3" s="19" t="s">
        <v>141</v>
      </c>
      <c r="B3" s="19"/>
      <c r="C3" s="19"/>
      <c r="D3" s="19"/>
    </row>
    <row r="4" customFormat="false" ht="18" hidden="false" customHeight="true" outlineLevel="0" collapsed="false">
      <c r="A4" s="20" t="s">
        <v>142</v>
      </c>
      <c r="B4" s="20" t="s">
        <v>78</v>
      </c>
      <c r="C4" s="20" t="s">
        <v>143</v>
      </c>
    </row>
    <row r="5" customFormat="false" ht="18" hidden="false" customHeight="true" outlineLevel="0" collapsed="false">
      <c r="A5" s="33" t="s">
        <v>144</v>
      </c>
      <c r="B5" s="33"/>
      <c r="C5" s="33"/>
      <c r="D5" s="33"/>
    </row>
    <row r="6" customFormat="false" ht="15" hidden="false" customHeight="true" outlineLevel="0" collapsed="false">
      <c r="A6" s="21" t="s">
        <v>26</v>
      </c>
      <c r="B6" s="22" t="n">
        <f aca="false">Expenses!C5+Expenses!C6</f>
        <v>840000</v>
      </c>
      <c r="C6" s="109" t="s">
        <v>145</v>
      </c>
    </row>
    <row r="7" customFormat="false" ht="15" hidden="false" customHeight="true" outlineLevel="0" collapsed="false">
      <c r="A7" s="25" t="s">
        <v>27</v>
      </c>
      <c r="B7" s="26" t="n">
        <f aca="false">Expenses!C7</f>
        <v>240000</v>
      </c>
      <c r="C7" s="111" t="s">
        <v>146</v>
      </c>
    </row>
    <row r="8" customFormat="false" ht="15" hidden="false" customHeight="true" outlineLevel="0" collapsed="false">
      <c r="A8" s="21" t="s">
        <v>28</v>
      </c>
      <c r="B8" s="22" t="n">
        <f aca="false">Expenses!C8</f>
        <v>360000</v>
      </c>
      <c r="C8" s="109" t="s">
        <v>147</v>
      </c>
    </row>
    <row r="9" customFormat="false" ht="15" hidden="false" customHeight="true" outlineLevel="0" collapsed="false">
      <c r="A9" s="25" t="s">
        <v>29</v>
      </c>
      <c r="B9" s="26" t="n">
        <f aca="false">Expenses!C9</f>
        <v>200000</v>
      </c>
      <c r="C9" s="111" t="s">
        <v>148</v>
      </c>
    </row>
    <row r="10" customFormat="false" ht="15" hidden="false" customHeight="true" outlineLevel="0" collapsed="false">
      <c r="A10" s="21" t="s">
        <v>31</v>
      </c>
      <c r="B10" s="22" t="n">
        <f aca="false">Expenses!C11</f>
        <v>100000</v>
      </c>
      <c r="C10" s="109" t="s">
        <v>149</v>
      </c>
    </row>
    <row r="11" customFormat="false" ht="15" hidden="false" customHeight="true" outlineLevel="0" collapsed="false">
      <c r="A11" s="25" t="s">
        <v>150</v>
      </c>
      <c r="B11" s="26" t="n">
        <f aca="false">Expenses!C12</f>
        <v>2040000</v>
      </c>
      <c r="C11" s="111" t="s">
        <v>151</v>
      </c>
    </row>
    <row r="12" customFormat="false" ht="15" hidden="false" customHeight="true" outlineLevel="0" collapsed="false">
      <c r="A12" s="29" t="s">
        <v>152</v>
      </c>
      <c r="B12" s="31" t="n">
        <f aca="false">SUM(B6:B11)</f>
        <v>3780000</v>
      </c>
    </row>
    <row r="14" customFormat="false" ht="18" hidden="false" customHeight="true" outlineLevel="0" collapsed="false">
      <c r="A14" s="33" t="s">
        <v>153</v>
      </c>
      <c r="B14" s="33"/>
      <c r="C14" s="33"/>
      <c r="D14" s="33"/>
    </row>
    <row r="15" customFormat="false" ht="15" hidden="false" customHeight="true" outlineLevel="0" collapsed="false">
      <c r="A15" s="21" t="s">
        <v>154</v>
      </c>
      <c r="B15" s="22" t="n">
        <f aca="false">Expenses!C10</f>
        <v>300000</v>
      </c>
      <c r="C15" s="109" t="s">
        <v>155</v>
      </c>
    </row>
    <row r="17" customFormat="false" ht="18" hidden="false" customHeight="true" outlineLevel="0" collapsed="false">
      <c r="A17" s="77" t="s">
        <v>156</v>
      </c>
      <c r="B17" s="77"/>
      <c r="C17" s="77"/>
      <c r="D17" s="77"/>
    </row>
    <row r="18" customFormat="false" ht="15" hidden="false" customHeight="true" outlineLevel="0" collapsed="false">
      <c r="A18" s="25" t="s">
        <v>157</v>
      </c>
      <c r="B18" s="27" t="n">
        <f aca="false">Revenue!D11</f>
        <v>420</v>
      </c>
      <c r="C18" s="111" t="s">
        <v>158</v>
      </c>
    </row>
    <row r="19" customFormat="false" ht="15" hidden="false" customHeight="true" outlineLevel="0" collapsed="false">
      <c r="A19" s="21" t="s">
        <v>159</v>
      </c>
      <c r="B19" s="22" t="n">
        <f aca="false">IF(Revenue!D11&gt;0,Revenue!E11/Revenue!D11,0)</f>
        <v>10357.1428571429</v>
      </c>
      <c r="C19" s="109" t="s">
        <v>160</v>
      </c>
    </row>
    <row r="20" customFormat="false" ht="15" hidden="false" customHeight="true" outlineLevel="0" collapsed="false">
      <c r="A20" s="25" t="s">
        <v>161</v>
      </c>
      <c r="B20" s="26" t="n">
        <f aca="false">IF(Revenue!D11&gt;0,Expenses!C10/Revenue!D11,0)</f>
        <v>714.285714285714</v>
      </c>
      <c r="C20" s="111" t="s">
        <v>162</v>
      </c>
    </row>
    <row r="21" customFormat="false" ht="15" hidden="false" customHeight="true" outlineLevel="0" collapsed="false">
      <c r="A21" s="87" t="s">
        <v>163</v>
      </c>
      <c r="B21" s="112" t="n">
        <f aca="false">B19-B20</f>
        <v>9642.85714285714</v>
      </c>
      <c r="C21" s="109" t="s">
        <v>164</v>
      </c>
    </row>
    <row r="22" customFormat="false" ht="15" hidden="false" customHeight="true" outlineLevel="0" collapsed="false">
      <c r="A22" s="104" t="s">
        <v>165</v>
      </c>
      <c r="B22" s="113" t="n">
        <f aca="false">IF(B21&gt;0,CEILING(B12/B21,1),"N/A")</f>
        <v>392</v>
      </c>
      <c r="C22" s="114" t="s">
        <v>166</v>
      </c>
    </row>
    <row r="23" customFormat="false" ht="15" hidden="false" customHeight="true" outlineLevel="0" collapsed="false">
      <c r="A23" s="115" t="s">
        <v>167</v>
      </c>
      <c r="B23" s="116" t="n">
        <f aca="false">Revenue!D11-B22</f>
        <v>28</v>
      </c>
      <c r="C23" s="117" t="s">
        <v>168</v>
      </c>
    </row>
    <row r="24" customFormat="false" ht="15" hidden="false" customHeight="true" outlineLevel="0" collapsed="false">
      <c r="A24" s="104" t="s">
        <v>169</v>
      </c>
      <c r="B24" s="105" t="n">
        <f aca="false">B22*B19</f>
        <v>4060000</v>
      </c>
      <c r="C24" s="114" t="s">
        <v>170</v>
      </c>
    </row>
    <row r="25" customFormat="false" ht="15" hidden="false" customHeight="true" outlineLevel="0" collapsed="false">
      <c r="A25" s="115" t="s">
        <v>171</v>
      </c>
      <c r="B25" s="118" t="n">
        <f aca="false">IF(Revenue!E11&gt;0,(Revenue!E11-B24)/Revenue!E11,0)</f>
        <v>0.0666666666666667</v>
      </c>
      <c r="C25" s="117" t="s">
        <v>172</v>
      </c>
    </row>
  </sheetData>
  <mergeCells count="5">
    <mergeCell ref="A1:D1"/>
    <mergeCell ref="A3:D3"/>
    <mergeCell ref="A5:D5"/>
    <mergeCell ref="A14:D1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22"/>
  </cols>
  <sheetData>
    <row r="1" customFormat="false" ht="27.75" hidden="false" customHeight="true" outlineLevel="0" collapsed="false">
      <c r="A1" s="60" t="s">
        <v>173</v>
      </c>
      <c r="B1" s="60"/>
      <c r="C1" s="60"/>
      <c r="D1" s="60"/>
      <c r="E1" s="60"/>
    </row>
    <row r="3" customFormat="false" ht="19.5" hidden="false" customHeight="true" outlineLevel="0" collapsed="false">
      <c r="A3" s="19" t="s">
        <v>174</v>
      </c>
      <c r="B3" s="19"/>
      <c r="C3" s="19"/>
      <c r="D3" s="19"/>
      <c r="E3" s="19"/>
    </row>
    <row r="5" customFormat="false" ht="18" hidden="false" customHeight="true" outlineLevel="0" collapsed="false">
      <c r="A5" s="33" t="s">
        <v>175</v>
      </c>
      <c r="B5" s="33"/>
      <c r="C5" s="33"/>
      <c r="D5" s="33"/>
      <c r="E5" s="33"/>
    </row>
    <row r="6" customFormat="false" ht="18" hidden="false" customHeight="true" outlineLevel="0" collapsed="false">
      <c r="A6" s="20" t="s">
        <v>176</v>
      </c>
      <c r="B6" s="20" t="s">
        <v>177</v>
      </c>
      <c r="C6" s="20" t="s">
        <v>178</v>
      </c>
      <c r="D6" s="20" t="s">
        <v>179</v>
      </c>
      <c r="E6" s="20" t="s">
        <v>180</v>
      </c>
    </row>
    <row r="7" customFormat="false" ht="15" hidden="false" customHeight="true" outlineLevel="0" collapsed="false">
      <c r="A7" s="21" t="s">
        <v>181</v>
      </c>
      <c r="B7" s="62" t="s">
        <v>182</v>
      </c>
      <c r="C7" s="119" t="n">
        <v>0.2</v>
      </c>
      <c r="D7" s="119" t="n">
        <v>0.2</v>
      </c>
      <c r="E7" s="109" t="s">
        <v>183</v>
      </c>
    </row>
    <row r="8" customFormat="false" ht="15" hidden="false" customHeight="true" outlineLevel="0" collapsed="false">
      <c r="A8" s="25" t="s">
        <v>184</v>
      </c>
      <c r="B8" s="65" t="s">
        <v>182</v>
      </c>
      <c r="C8" s="120" t="n">
        <v>0.05</v>
      </c>
      <c r="D8" s="120" t="n">
        <v>0.05</v>
      </c>
      <c r="E8" s="111" t="s">
        <v>185</v>
      </c>
    </row>
    <row r="9" customFormat="false" ht="15" hidden="false" customHeight="true" outlineLevel="0" collapsed="false">
      <c r="A9" s="21" t="s">
        <v>186</v>
      </c>
      <c r="B9" s="62" t="s">
        <v>182</v>
      </c>
      <c r="C9" s="119" t="n">
        <v>0.1</v>
      </c>
      <c r="D9" s="119" t="n">
        <v>0.1</v>
      </c>
      <c r="E9" s="109" t="s">
        <v>187</v>
      </c>
    </row>
    <row r="10" customFormat="false" ht="15" hidden="false" customHeight="true" outlineLevel="0" collapsed="false">
      <c r="A10" s="25" t="s">
        <v>188</v>
      </c>
      <c r="B10" s="65" t="s">
        <v>182</v>
      </c>
      <c r="C10" s="120" t="n">
        <v>0.05</v>
      </c>
      <c r="D10" s="120" t="n">
        <v>0.05</v>
      </c>
      <c r="E10" s="111" t="s">
        <v>189</v>
      </c>
    </row>
    <row r="12" customFormat="false" ht="18" hidden="false" customHeight="true" outlineLevel="0" collapsed="false">
      <c r="A12" s="77" t="s">
        <v>190</v>
      </c>
      <c r="B12" s="77"/>
      <c r="C12" s="77"/>
      <c r="D12" s="77"/>
      <c r="E12" s="77"/>
    </row>
    <row r="13" customFormat="false" ht="18" hidden="false" customHeight="true" outlineLevel="0" collapsed="false">
      <c r="A13" s="20" t="s">
        <v>191</v>
      </c>
      <c r="B13" s="20" t="s">
        <v>192</v>
      </c>
      <c r="C13" s="20" t="s">
        <v>193</v>
      </c>
      <c r="D13" s="20" t="s">
        <v>194</v>
      </c>
      <c r="E13" s="20" t="s">
        <v>195</v>
      </c>
    </row>
    <row r="14" customFormat="false" ht="15" hidden="false" customHeight="true" outlineLevel="0" collapsed="false">
      <c r="A14" s="21" t="s">
        <v>196</v>
      </c>
      <c r="B14" s="23" t="n">
        <f aca="false">Revenue!D13</f>
        <v>0</v>
      </c>
      <c r="C14" s="23" t="n">
        <f aca="false">ROUND(B14*(1+C7),0)</f>
        <v>0</v>
      </c>
      <c r="D14" s="23" t="n">
        <f aca="false">ROUND(C14*(1+D7),0)</f>
        <v>0</v>
      </c>
      <c r="E14" s="23" t="n">
        <f aca="false">SUM(B14:D14)</f>
        <v>0</v>
      </c>
    </row>
    <row r="15" customFormat="false" ht="15" hidden="false" customHeight="true" outlineLevel="0" collapsed="false">
      <c r="A15" s="25" t="s">
        <v>197</v>
      </c>
      <c r="B15" s="26" t="n">
        <f aca="false">IF(Revenue!D13&gt;0,Revenue!E13/Revenue!D13,0)</f>
        <v>0</v>
      </c>
      <c r="C15" s="26" t="n">
        <f aca="false">B15*(1+C8)</f>
        <v>0</v>
      </c>
      <c r="D15" s="26" t="n">
        <f aca="false">C15*(1+D8)</f>
        <v>0</v>
      </c>
      <c r="E15" s="121" t="s">
        <v>182</v>
      </c>
    </row>
    <row r="16" customFormat="false" ht="15" hidden="false" customHeight="true" outlineLevel="0" collapsed="false">
      <c r="A16" s="21" t="s">
        <v>51</v>
      </c>
      <c r="B16" s="22" t="n">
        <f aca="false">Revenue!E13</f>
        <v>0</v>
      </c>
      <c r="C16" s="22" t="n">
        <f aca="false">C14*C15</f>
        <v>0</v>
      </c>
      <c r="D16" s="22" t="n">
        <f aca="false">D14*D15</f>
        <v>0</v>
      </c>
      <c r="E16" s="22" t="n">
        <f aca="false">SUM(B16:D16)</f>
        <v>0</v>
      </c>
    </row>
    <row r="17" customFormat="false" ht="15" hidden="false" customHeight="true" outlineLevel="0" collapsed="false">
      <c r="A17" s="25" t="s">
        <v>198</v>
      </c>
      <c r="B17" s="26" t="n">
        <f aca="false">Revenue!F13</f>
        <v>0</v>
      </c>
      <c r="C17" s="26" t="n">
        <f aca="false">C16*0.05</f>
        <v>0</v>
      </c>
      <c r="D17" s="26" t="n">
        <f aca="false">D16*0.05</f>
        <v>0</v>
      </c>
      <c r="E17" s="26" t="n">
        <f aca="false">SUM(B17:D17)</f>
        <v>0</v>
      </c>
    </row>
    <row r="18" customFormat="false" ht="15" hidden="false" customHeight="true" outlineLevel="0" collapsed="false">
      <c r="A18" s="21" t="s">
        <v>53</v>
      </c>
      <c r="B18" s="22" t="n">
        <f aca="false">Revenue!G13</f>
        <v>0</v>
      </c>
      <c r="C18" s="22" t="n">
        <f aca="false">C16-C17</f>
        <v>0</v>
      </c>
      <c r="D18" s="22" t="n">
        <f aca="false">D16-D17</f>
        <v>0</v>
      </c>
      <c r="E18" s="22" t="n">
        <f aca="false">SUM(B18:D18)</f>
        <v>0</v>
      </c>
    </row>
    <row r="19" customFormat="false" ht="15" hidden="false" customHeight="true" outlineLevel="0" collapsed="false">
      <c r="A19" s="25" t="s">
        <v>199</v>
      </c>
      <c r="B19" s="26" t="n">
        <f aca="false">Expenses!C5+Expenses!C6</f>
        <v>840000</v>
      </c>
      <c r="C19" s="26" t="n">
        <f aca="false">B19*(1+C9)</f>
        <v>924000</v>
      </c>
      <c r="D19" s="26" t="n">
        <f aca="false">C19*(1+D9)</f>
        <v>1016400</v>
      </c>
      <c r="E19" s="26" t="n">
        <f aca="false">SUM(B19:D19)</f>
        <v>2780400</v>
      </c>
    </row>
    <row r="20" customFormat="false" ht="15" hidden="false" customHeight="true" outlineLevel="0" collapsed="false">
      <c r="A20" s="21" t="s">
        <v>200</v>
      </c>
      <c r="B20" s="22" t="n">
        <f aca="false">Expenses!C7+Expenses!C8+Expenses!C9+Expenses!C11+Expenses!C12</f>
        <v>2940000</v>
      </c>
      <c r="C20" s="22" t="n">
        <f aca="false">B20*(1+C10)</f>
        <v>3087000</v>
      </c>
      <c r="D20" s="22" t="n">
        <f aca="false">C20*(1+D10)</f>
        <v>3241350</v>
      </c>
      <c r="E20" s="22" t="n">
        <f aca="false">SUM(B20:D20)</f>
        <v>9268350</v>
      </c>
    </row>
    <row r="21" customFormat="false" ht="15" hidden="false" customHeight="true" outlineLevel="0" collapsed="false">
      <c r="A21" s="25" t="s">
        <v>201</v>
      </c>
      <c r="B21" s="26" t="n">
        <f aca="false">Expenses!C12</f>
        <v>2040000</v>
      </c>
      <c r="C21" s="26" t="n">
        <f aca="false">C17+C19+C20</f>
        <v>4011000</v>
      </c>
      <c r="D21" s="26" t="n">
        <f aca="false">D17+D19+D20</f>
        <v>4257750</v>
      </c>
      <c r="E21" s="26" t="n">
        <f aca="false">SUM(B21:D21)</f>
        <v>10308750</v>
      </c>
    </row>
    <row r="22" customFormat="false" ht="15" hidden="false" customHeight="true" outlineLevel="0" collapsed="false">
      <c r="A22" s="104" t="s">
        <v>202</v>
      </c>
      <c r="B22" s="105" t="n">
        <f aca="false">'P&amp;L Summary'!B14</f>
        <v>0</v>
      </c>
      <c r="C22" s="105" t="n">
        <f aca="false">C18-C21</f>
        <v>-4011000</v>
      </c>
      <c r="D22" s="105" t="n">
        <f aca="false">D18-D21</f>
        <v>-4257750</v>
      </c>
      <c r="E22" s="105" t="n">
        <f aca="false">SUM(B22:D22)</f>
        <v>-8268750</v>
      </c>
    </row>
    <row r="23" customFormat="false" ht="15" hidden="false" customHeight="true" outlineLevel="0" collapsed="false">
      <c r="A23" s="106" t="s">
        <v>203</v>
      </c>
      <c r="B23" s="122" t="n">
        <f aca="false">'P&amp;L Summary'!B15</f>
        <v>0</v>
      </c>
      <c r="C23" s="122" t="n">
        <f aca="false">IF(C18&gt;0,C22/C18,0)</f>
        <v>0</v>
      </c>
      <c r="D23" s="122" t="n">
        <f aca="false">IF(D18&gt;0,D22/D18,0)</f>
        <v>0</v>
      </c>
      <c r="E23" s="123" t="s">
        <v>182</v>
      </c>
    </row>
  </sheetData>
  <mergeCells count="4">
    <mergeCell ref="A1:E1"/>
    <mergeCell ref="A3:E3"/>
    <mergeCell ref="A5:E5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38"/>
  </cols>
  <sheetData>
    <row r="1" customFormat="false" ht="27.75" hidden="false" customHeight="true" outlineLevel="0" collapsed="false">
      <c r="A1" s="60" t="s">
        <v>204</v>
      </c>
      <c r="B1" s="60"/>
      <c r="C1" s="60"/>
      <c r="D1" s="60"/>
      <c r="E1" s="60"/>
      <c r="F1" s="60"/>
    </row>
    <row r="3" customFormat="false" ht="19.5" hidden="false" customHeight="true" outlineLevel="0" collapsed="false">
      <c r="A3" s="19" t="s">
        <v>205</v>
      </c>
      <c r="B3" s="19"/>
      <c r="C3" s="19"/>
      <c r="D3" s="19"/>
      <c r="E3" s="19"/>
      <c r="F3" s="19"/>
    </row>
    <row r="5" customFormat="false" ht="18" hidden="false" customHeight="true" outlineLevel="0" collapsed="false">
      <c r="A5" s="33" t="s">
        <v>206</v>
      </c>
      <c r="B5" s="33"/>
      <c r="C5" s="33"/>
      <c r="D5" s="33"/>
      <c r="E5" s="33"/>
      <c r="F5" s="33"/>
    </row>
    <row r="6" customFormat="false" ht="18" hidden="false" customHeight="true" outlineLevel="0" collapsed="false">
      <c r="A6" s="20" t="s">
        <v>207</v>
      </c>
      <c r="B6" s="20" t="s">
        <v>208</v>
      </c>
      <c r="C6" s="20" t="s">
        <v>209</v>
      </c>
      <c r="D6" s="20" t="s">
        <v>180</v>
      </c>
    </row>
    <row r="7" customFormat="false" ht="15" hidden="false" customHeight="true" outlineLevel="0" collapsed="false">
      <c r="A7" s="21" t="s">
        <v>210</v>
      </c>
      <c r="B7" s="61" t="n">
        <v>50000</v>
      </c>
      <c r="C7" s="124" t="s">
        <v>211</v>
      </c>
      <c r="D7" s="109" t="s">
        <v>212</v>
      </c>
    </row>
    <row r="8" customFormat="false" ht="15" hidden="false" customHeight="true" outlineLevel="0" collapsed="false">
      <c r="A8" s="25" t="s">
        <v>213</v>
      </c>
      <c r="B8" s="125" t="n">
        <v>0.15</v>
      </c>
      <c r="C8" s="126" t="s">
        <v>214</v>
      </c>
      <c r="D8" s="111" t="s">
        <v>215</v>
      </c>
    </row>
    <row r="9" customFormat="false" ht="15" hidden="false" customHeight="true" outlineLevel="0" collapsed="false">
      <c r="A9" s="21" t="s">
        <v>216</v>
      </c>
      <c r="B9" s="63" t="n">
        <v>60</v>
      </c>
      <c r="C9" s="124" t="s">
        <v>217</v>
      </c>
      <c r="D9" s="109" t="s">
        <v>218</v>
      </c>
    </row>
    <row r="10" customFormat="false" ht="15" hidden="false" customHeight="true" outlineLevel="0" collapsed="false">
      <c r="A10" s="25" t="s">
        <v>219</v>
      </c>
      <c r="B10" s="64" t="n">
        <v>10000</v>
      </c>
      <c r="C10" s="126" t="s">
        <v>220</v>
      </c>
      <c r="D10" s="111" t="s">
        <v>221</v>
      </c>
    </row>
    <row r="11" customFormat="false" ht="15" hidden="false" customHeight="true" outlineLevel="0" collapsed="false">
      <c r="A11" s="21" t="s">
        <v>222</v>
      </c>
      <c r="B11" s="63" t="n">
        <v>50</v>
      </c>
      <c r="C11" s="124" t="s">
        <v>223</v>
      </c>
      <c r="D11" s="109" t="s">
        <v>224</v>
      </c>
    </row>
    <row r="12" customFormat="false" ht="15" hidden="false" customHeight="true" outlineLevel="0" collapsed="false">
      <c r="A12" s="25" t="s">
        <v>225</v>
      </c>
      <c r="B12" s="66" t="n">
        <v>10</v>
      </c>
      <c r="C12" s="126" t="s">
        <v>223</v>
      </c>
      <c r="D12" s="111" t="s">
        <v>226</v>
      </c>
    </row>
    <row r="14" customFormat="false" ht="18" hidden="false" customHeight="true" outlineLevel="0" collapsed="false">
      <c r="A14" s="77" t="s">
        <v>227</v>
      </c>
      <c r="B14" s="77"/>
      <c r="C14" s="77"/>
      <c r="D14" s="77"/>
      <c r="E14" s="77"/>
      <c r="F14" s="77"/>
    </row>
    <row r="15" customFormat="false" ht="18" hidden="false" customHeight="true" outlineLevel="0" collapsed="false">
      <c r="A15" s="20" t="s">
        <v>228</v>
      </c>
      <c r="B15" s="20" t="s">
        <v>229</v>
      </c>
      <c r="C15" s="20" t="s">
        <v>24</v>
      </c>
      <c r="D15" s="20" t="s">
        <v>180</v>
      </c>
    </row>
    <row r="16" customFormat="false" ht="15" hidden="false" customHeight="true" outlineLevel="0" collapsed="false">
      <c r="A16" s="21" t="s">
        <v>230</v>
      </c>
      <c r="B16" s="109" t="n">
        <f aca="false">B12*B7</f>
        <v>500000</v>
      </c>
      <c r="C16" s="22" t="n">
        <f aca="false">B12*B7</f>
        <v>500000</v>
      </c>
      <c r="D16" s="109" t="s">
        <v>231</v>
      </c>
    </row>
    <row r="17" customFormat="false" ht="15" hidden="false" customHeight="true" outlineLevel="0" collapsed="false">
      <c r="A17" s="25" t="s">
        <v>232</v>
      </c>
      <c r="B17" s="111" t="n">
        <f aca="false">B11*B9*B10*B8</f>
        <v>4500000</v>
      </c>
      <c r="C17" s="26" t="n">
        <f aca="false">B11*B9*B10*B8</f>
        <v>4500000</v>
      </c>
      <c r="D17" s="111" t="s">
        <v>233</v>
      </c>
    </row>
    <row r="18" customFormat="false" ht="15" hidden="false" customHeight="true" outlineLevel="0" collapsed="false">
      <c r="A18" s="104" t="s">
        <v>234</v>
      </c>
      <c r="B18" s="114" t="n">
        <f aca="false">C16+C17</f>
        <v>5000000</v>
      </c>
      <c r="C18" s="105" t="n">
        <f aca="false">C16+C17</f>
        <v>5000000</v>
      </c>
      <c r="D18" s="114" t="s">
        <v>235</v>
      </c>
    </row>
    <row r="20" customFormat="false" ht="18" hidden="false" customHeight="true" outlineLevel="0" collapsed="false">
      <c r="A20" s="33" t="s">
        <v>236</v>
      </c>
      <c r="B20" s="33"/>
      <c r="C20" s="33"/>
      <c r="D20" s="33"/>
      <c r="E20" s="33"/>
      <c r="F20" s="33"/>
    </row>
    <row r="21" customFormat="false" ht="18" hidden="false" customHeight="true" outlineLevel="0" collapsed="false">
      <c r="A21" s="20" t="s">
        <v>237</v>
      </c>
      <c r="B21" s="20" t="s">
        <v>24</v>
      </c>
      <c r="C21" s="20" t="s">
        <v>180</v>
      </c>
    </row>
    <row r="22" customFormat="false" ht="15" hidden="false" customHeight="true" outlineLevel="0" collapsed="false">
      <c r="A22" s="21" t="s">
        <v>238</v>
      </c>
      <c r="B22" s="22" t="n">
        <f aca="false">B9*B10</f>
        <v>600000</v>
      </c>
      <c r="C22" s="109" t="s">
        <v>239</v>
      </c>
    </row>
    <row r="23" customFormat="false" ht="15" hidden="false" customHeight="true" outlineLevel="0" collapsed="false">
      <c r="A23" s="25" t="s">
        <v>240</v>
      </c>
      <c r="B23" s="26" t="n">
        <f aca="false">B22*B8</f>
        <v>90000</v>
      </c>
      <c r="C23" s="111" t="s">
        <v>241</v>
      </c>
    </row>
    <row r="24" customFormat="false" ht="15" hidden="false" customHeight="true" outlineLevel="0" collapsed="false">
      <c r="A24" s="21" t="s">
        <v>242</v>
      </c>
      <c r="B24" s="22" t="n">
        <f aca="false">B22-B23</f>
        <v>510000</v>
      </c>
      <c r="C24" s="109" t="s">
        <v>243</v>
      </c>
    </row>
    <row r="25" customFormat="false" ht="15" hidden="false" customHeight="true" outlineLevel="0" collapsed="false">
      <c r="A25" s="25" t="s">
        <v>244</v>
      </c>
      <c r="B25" s="26" t="n">
        <f aca="false">B22*0.5</f>
        <v>300000</v>
      </c>
      <c r="C25" s="111" t="s">
        <v>245</v>
      </c>
    </row>
    <row r="26" customFormat="false" ht="15" hidden="false" customHeight="true" outlineLevel="0" collapsed="false">
      <c r="A26" s="104" t="s">
        <v>246</v>
      </c>
      <c r="B26" s="105" t="n">
        <f aca="false">B24-B25</f>
        <v>210000</v>
      </c>
      <c r="C26" s="114" t="s">
        <v>247</v>
      </c>
    </row>
    <row r="27" customFormat="false" ht="15" hidden="false" customHeight="true" outlineLevel="0" collapsed="false">
      <c r="A27" s="106" t="s">
        <v>248</v>
      </c>
      <c r="B27" s="122" t="n">
        <f aca="false">IF(200000&gt;0,B26/200000,0)</f>
        <v>1.05</v>
      </c>
      <c r="C27" s="117" t="s">
        <v>249</v>
      </c>
    </row>
  </sheetData>
  <mergeCells count="5">
    <mergeCell ref="A1:F1"/>
    <mergeCell ref="A3:F3"/>
    <mergeCell ref="A5:F5"/>
    <mergeCell ref="A14:F14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6" min="4" style="1" width="20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60" t="s">
        <v>250</v>
      </c>
      <c r="B1" s="60"/>
      <c r="C1" s="60"/>
      <c r="D1" s="60"/>
      <c r="E1" s="60"/>
      <c r="F1" s="60"/>
      <c r="G1" s="60"/>
      <c r="H1" s="60"/>
    </row>
    <row r="3" customFormat="false" ht="19.5" hidden="false" customHeight="true" outlineLevel="0" collapsed="false">
      <c r="A3" s="19" t="s">
        <v>251</v>
      </c>
      <c r="B3" s="19"/>
      <c r="C3" s="19"/>
      <c r="D3" s="19"/>
      <c r="E3" s="19"/>
      <c r="F3" s="19"/>
      <c r="G3" s="19"/>
      <c r="H3" s="19"/>
    </row>
    <row r="4" customFormat="false" ht="18" hidden="false" customHeight="true" outlineLevel="0" collapsed="false">
      <c r="A4" s="20" t="s">
        <v>8</v>
      </c>
      <c r="B4" s="20" t="s">
        <v>10</v>
      </c>
      <c r="C4" s="20" t="s">
        <v>9</v>
      </c>
      <c r="D4" s="20" t="s">
        <v>252</v>
      </c>
      <c r="E4" s="20" t="s">
        <v>253</v>
      </c>
      <c r="F4" s="20" t="s">
        <v>254</v>
      </c>
      <c r="G4" s="20" t="s">
        <v>255</v>
      </c>
      <c r="H4" s="20" t="s">
        <v>256</v>
      </c>
    </row>
    <row r="5" customFormat="false" ht="15" hidden="false" customHeight="true" outlineLevel="0" collapsed="false">
      <c r="A5" s="21" t="s">
        <v>15</v>
      </c>
      <c r="B5" s="23" t="n">
        <f aca="false">Revenue!D5</f>
        <v>100</v>
      </c>
      <c r="C5" s="22" t="n">
        <f aca="false">Revenue!B5</f>
        <v>4000</v>
      </c>
      <c r="D5" s="22" t="n">
        <f aca="false">B5*C5</f>
        <v>400000</v>
      </c>
      <c r="E5" s="127" t="n">
        <v>0</v>
      </c>
      <c r="F5" s="22" t="n">
        <f aca="false">D5-E5</f>
        <v>400000</v>
      </c>
      <c r="G5" s="24" t="n">
        <f aca="false">IF(D5&gt;0,E5/D5,0)</f>
        <v>0</v>
      </c>
      <c r="H5" s="128" t="n">
        <v>0</v>
      </c>
    </row>
    <row r="6" customFormat="false" ht="15" hidden="false" customHeight="true" outlineLevel="0" collapsed="false">
      <c r="A6" s="25" t="s">
        <v>55</v>
      </c>
      <c r="B6" s="27" t="n">
        <f aca="false">Revenue!D6</f>
        <v>100</v>
      </c>
      <c r="C6" s="26" t="n">
        <f aca="false">Revenue!B6</f>
        <v>4000</v>
      </c>
      <c r="D6" s="26" t="n">
        <f aca="false">B6*C6</f>
        <v>400000</v>
      </c>
      <c r="E6" s="127" t="n">
        <v>0</v>
      </c>
      <c r="F6" s="26" t="n">
        <f aca="false">D6-E6</f>
        <v>400000</v>
      </c>
      <c r="G6" s="28" t="n">
        <f aca="false">IF(D6&gt;0,E6/D6,0)</f>
        <v>0</v>
      </c>
      <c r="H6" s="128" t="n">
        <v>0</v>
      </c>
    </row>
    <row r="7" customFormat="false" ht="15" hidden="false" customHeight="true" outlineLevel="0" collapsed="false">
      <c r="A7" s="21" t="s">
        <v>17</v>
      </c>
      <c r="B7" s="23" t="n">
        <f aca="false">Revenue!D7</f>
        <v>50</v>
      </c>
      <c r="C7" s="22" t="n">
        <f aca="false">Revenue!B7</f>
        <v>6000</v>
      </c>
      <c r="D7" s="22" t="n">
        <f aca="false">B7*C7</f>
        <v>300000</v>
      </c>
      <c r="E7" s="127" t="n">
        <v>0</v>
      </c>
      <c r="F7" s="22" t="n">
        <f aca="false">D7-E7</f>
        <v>300000</v>
      </c>
      <c r="G7" s="24" t="n">
        <f aca="false">IF(D7&gt;0,E7/D7,0)</f>
        <v>0</v>
      </c>
      <c r="H7" s="128" t="n">
        <v>0</v>
      </c>
    </row>
    <row r="8" customFormat="false" ht="15" hidden="false" customHeight="true" outlineLevel="0" collapsed="false">
      <c r="A8" s="25" t="s">
        <v>18</v>
      </c>
      <c r="B8" s="27" t="n">
        <f aca="false">Revenue!D8</f>
        <v>100</v>
      </c>
      <c r="C8" s="26" t="n">
        <f aca="false">Revenue!B8</f>
        <v>25000</v>
      </c>
      <c r="D8" s="26" t="n">
        <f aca="false">B8*C8</f>
        <v>2500000</v>
      </c>
      <c r="E8" s="127" t="n">
        <v>0</v>
      </c>
      <c r="F8" s="26" t="n">
        <f aca="false">D8-E8</f>
        <v>2500000</v>
      </c>
      <c r="G8" s="28" t="n">
        <f aca="false">IF(D8&gt;0,E8/D8,0)</f>
        <v>0</v>
      </c>
      <c r="H8" s="128" t="n">
        <v>0</v>
      </c>
    </row>
    <row r="9" customFormat="false" ht="15" hidden="false" customHeight="true" outlineLevel="0" collapsed="false">
      <c r="A9" s="21" t="s">
        <v>19</v>
      </c>
      <c r="B9" s="23" t="n">
        <f aca="false">Revenue!D9</f>
        <v>50</v>
      </c>
      <c r="C9" s="22" t="n">
        <f aca="false">Revenue!B9</f>
        <v>9000</v>
      </c>
      <c r="D9" s="22" t="n">
        <f aca="false">B9*C9</f>
        <v>450000</v>
      </c>
      <c r="E9" s="127" t="n">
        <v>0</v>
      </c>
      <c r="F9" s="22" t="n">
        <f aca="false">D9-E9</f>
        <v>450000</v>
      </c>
      <c r="G9" s="24" t="n">
        <f aca="false">IF(D9&gt;0,E9/D9,0)</f>
        <v>0</v>
      </c>
      <c r="H9" s="128" t="n">
        <v>0</v>
      </c>
    </row>
    <row r="10" customFormat="false" ht="15" hidden="false" customHeight="true" outlineLevel="0" collapsed="false">
      <c r="A10" s="25" t="s">
        <v>20</v>
      </c>
      <c r="B10" s="27" t="n">
        <f aca="false">Revenue!D10</f>
        <v>20</v>
      </c>
      <c r="C10" s="26" t="n">
        <f aca="false">Revenue!B10</f>
        <v>15000</v>
      </c>
      <c r="D10" s="26" t="n">
        <f aca="false">B10*C10</f>
        <v>300000</v>
      </c>
      <c r="E10" s="127" t="n">
        <v>0</v>
      </c>
      <c r="F10" s="26" t="n">
        <f aca="false">D10-E10</f>
        <v>300000</v>
      </c>
      <c r="G10" s="28" t="n">
        <f aca="false">IF(D10&gt;0,E10/D10,0)</f>
        <v>0</v>
      </c>
      <c r="H10" s="128" t="n">
        <v>0</v>
      </c>
    </row>
    <row r="11" customFormat="false" ht="15" hidden="false" customHeight="true" outlineLevel="0" collapsed="false">
      <c r="A11" s="29" t="s">
        <v>21</v>
      </c>
      <c r="B11" s="30" t="n">
        <f aca="false">Revenue!D11</f>
        <v>420</v>
      </c>
      <c r="D11" s="31" t="n">
        <f aca="false">SUM(D5:D10)</f>
        <v>4350000</v>
      </c>
      <c r="E11" s="31" t="n">
        <f aca="false">SUM(E5:E10)</f>
        <v>0</v>
      </c>
      <c r="F11" s="31" t="n">
        <f aca="false">SUM(F5:F10)</f>
        <v>4350000</v>
      </c>
      <c r="G11" s="32" t="n">
        <f aca="false">IF(D11&gt;0,E11/D11,0)</f>
        <v>0</v>
      </c>
      <c r="H11" s="30" t="n">
        <f aca="false">SUM(H5:H10)</f>
        <v>0</v>
      </c>
    </row>
    <row r="13" customFormat="false" ht="15" hidden="false" customHeight="true" outlineLevel="0" collapsed="false">
      <c r="A13" s="67" t="s">
        <v>257</v>
      </c>
      <c r="B13" s="67"/>
      <c r="C13" s="67"/>
      <c r="D13" s="67"/>
      <c r="E13" s="67"/>
      <c r="F13" s="67"/>
      <c r="G13" s="67"/>
      <c r="H13" s="67"/>
    </row>
    <row r="15" customFormat="false" ht="1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</row>
  </sheetData>
  <mergeCells count="4">
    <mergeCell ref="A1:H1"/>
    <mergeCell ref="A3:H3"/>
    <mergeCell ref="A13:H13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6" min="5" style="1" width="16"/>
    <col collapsed="false" customWidth="true" hidden="false" outlineLevel="0" max="7" min="7" style="1" width="22"/>
  </cols>
  <sheetData>
    <row r="1" customFormat="false" ht="31.5" hidden="false" customHeight="true" outlineLevel="0" collapsed="false">
      <c r="A1" s="60" t="s">
        <v>258</v>
      </c>
      <c r="B1" s="60"/>
      <c r="C1" s="60"/>
      <c r="D1" s="60"/>
      <c r="E1" s="60"/>
      <c r="F1" s="60"/>
      <c r="G1" s="60"/>
    </row>
    <row r="2" customFormat="false" ht="15.75" hidden="false" customHeight="true" outlineLevel="0" collapsed="false">
      <c r="A2" s="93" t="s">
        <v>259</v>
      </c>
      <c r="B2" s="93"/>
      <c r="C2" s="93"/>
      <c r="D2" s="93"/>
      <c r="E2" s="93"/>
      <c r="F2" s="93"/>
      <c r="G2" s="93"/>
    </row>
    <row r="4" customFormat="false" ht="18" hidden="false" customHeight="true" outlineLevel="0" collapsed="false">
      <c r="A4" s="33" t="s">
        <v>260</v>
      </c>
      <c r="B4" s="33"/>
      <c r="C4" s="33"/>
      <c r="D4" s="33"/>
      <c r="E4" s="33"/>
      <c r="F4" s="33"/>
      <c r="G4" s="33"/>
    </row>
    <row r="5" customFormat="false" ht="18" hidden="false" customHeight="true" outlineLevel="0" collapsed="false">
      <c r="A5" s="20" t="s">
        <v>261</v>
      </c>
      <c r="B5" s="20" t="s">
        <v>35</v>
      </c>
      <c r="C5" s="20" t="s">
        <v>262</v>
      </c>
      <c r="D5" s="20" t="s">
        <v>263</v>
      </c>
      <c r="E5" s="20" t="s">
        <v>264</v>
      </c>
      <c r="F5" s="20" t="s">
        <v>265</v>
      </c>
      <c r="G5" s="20" t="s">
        <v>37</v>
      </c>
    </row>
    <row r="6" customFormat="false" ht="15" hidden="false" customHeight="true" outlineLevel="0" collapsed="false">
      <c r="A6" s="129" t="s">
        <v>266</v>
      </c>
      <c r="B6" s="128" t="n">
        <v>1000</v>
      </c>
      <c r="C6" s="130" t="n">
        <f aca="false">IF($B$6&gt;0,B6/$B$6,0)</f>
        <v>1</v>
      </c>
      <c r="D6" s="131" t="s">
        <v>39</v>
      </c>
      <c r="E6" s="131" t="s">
        <v>39</v>
      </c>
      <c r="F6" s="132" t="s">
        <v>267</v>
      </c>
      <c r="G6" s="37" t="str">
        <f aca="false">IF(B6&gt;=1000,"✅ On Track","⚠️ Below Target")</f>
        <v>✅ On Track</v>
      </c>
    </row>
    <row r="7" customFormat="false" ht="15" hidden="false" customHeight="true" outlineLevel="0" collapsed="false">
      <c r="A7" s="133" t="s">
        <v>268</v>
      </c>
      <c r="B7" s="128" t="n">
        <v>700</v>
      </c>
      <c r="C7" s="134" t="n">
        <f aca="false">IF($B$6&gt;0,B7/$B$6,0)</f>
        <v>0.7</v>
      </c>
      <c r="D7" s="39" t="n">
        <f aca="false">B6-B7</f>
        <v>300</v>
      </c>
      <c r="E7" s="134" t="n">
        <f aca="false">IF(B6&gt;0,(B6-B7)/B6,0)</f>
        <v>0.3</v>
      </c>
      <c r="F7" s="117" t="s">
        <v>269</v>
      </c>
      <c r="G7" s="41" t="str">
        <f aca="false">IF(C7&gt;=0.7,"✅ On Track","⚠️ Below Target")</f>
        <v>✅ On Track</v>
      </c>
    </row>
    <row r="8" customFormat="false" ht="15" hidden="false" customHeight="true" outlineLevel="0" collapsed="false">
      <c r="A8" s="135" t="s">
        <v>270</v>
      </c>
      <c r="B8" s="128" t="n">
        <v>400</v>
      </c>
      <c r="C8" s="136" t="n">
        <f aca="false">IF($B$6&gt;0,B8/$B$6,0)</f>
        <v>0.4</v>
      </c>
      <c r="D8" s="43" t="n">
        <f aca="false">B7-B8</f>
        <v>300</v>
      </c>
      <c r="E8" s="136" t="n">
        <f aca="false">IF(B7&gt;0,(B7-B8)/B7,0)</f>
        <v>0.428571428571429</v>
      </c>
      <c r="F8" s="137" t="s">
        <v>271</v>
      </c>
      <c r="G8" s="45" t="str">
        <f aca="false">IF(C8&gt;=0.57,"✅ On Track","⚠️ Below Target")</f>
        <v>⚠️ Below Target</v>
      </c>
    </row>
    <row r="9" customFormat="false" ht="15" hidden="false" customHeight="true" outlineLevel="0" collapsed="false">
      <c r="A9" s="21" t="s">
        <v>272</v>
      </c>
      <c r="B9" s="128" t="n">
        <v>200</v>
      </c>
      <c r="C9" s="24" t="n">
        <f aca="false">IF($B$6&gt;0,B9/$B$6,0)</f>
        <v>0.2</v>
      </c>
      <c r="D9" s="23" t="n">
        <f aca="false">B8-B9</f>
        <v>200</v>
      </c>
      <c r="E9" s="24" t="n">
        <f aca="false">IF(B8&gt;0,(B8-B9)/B8,0)</f>
        <v>0.5</v>
      </c>
      <c r="F9" s="109" t="s">
        <v>273</v>
      </c>
      <c r="G9" s="48" t="str">
        <f aca="false">IF(C9&gt;=0.5,"✅ On Track","⚠️ Below Target")</f>
        <v>⚠️ Below Target</v>
      </c>
    </row>
    <row r="10" customFormat="false" ht="15" hidden="false" customHeight="true" outlineLevel="0" collapsed="false">
      <c r="A10" s="138" t="s">
        <v>274</v>
      </c>
      <c r="B10" s="30" t="n">
        <f aca="false">Revenue!D13</f>
        <v>0</v>
      </c>
      <c r="C10" s="139" t="n">
        <f aca="false">IF($B$6&gt;0,B10/$B$6,0)</f>
        <v>0</v>
      </c>
      <c r="D10" s="140" t="n">
        <f aca="false">B9-B10</f>
        <v>200</v>
      </c>
      <c r="E10" s="139" t="n">
        <f aca="false">IF(B9&gt;0,(B9-B10)/B9,0)</f>
        <v>1</v>
      </c>
      <c r="F10" s="141" t="s">
        <v>275</v>
      </c>
      <c r="G10" s="51" t="str">
        <f aca="false">IF(C10&gt;=0.75,"✅ On Track","⚠️ Below Target")</f>
        <v>⚠️ Below Target</v>
      </c>
    </row>
    <row r="11" customFormat="false" ht="15" hidden="false" customHeight="true" outlineLevel="0" collapsed="false">
      <c r="A11" s="142" t="s">
        <v>276</v>
      </c>
      <c r="B11" s="128" t="n">
        <v>380</v>
      </c>
      <c r="C11" s="143" t="n">
        <f aca="false">IF($B$6&gt;0,B11/$B$6,0)</f>
        <v>0.38</v>
      </c>
      <c r="D11" s="144" t="n">
        <f aca="false">B10-B11</f>
        <v>-380</v>
      </c>
      <c r="E11" s="143" t="n">
        <f aca="false">IF(B10&gt;0,(B10-B11)/B10,0)</f>
        <v>0</v>
      </c>
      <c r="F11" s="145" t="s">
        <v>277</v>
      </c>
      <c r="G11" s="146" t="str">
        <f aca="false">IF(B11&gt;=B10,"✅ On Track","⚠️ Check Dropouts")</f>
        <v>✅ On Track</v>
      </c>
    </row>
    <row r="12" customFormat="false" ht="15" hidden="false" customHeight="true" outlineLevel="0" collapsed="false">
      <c r="A12" s="147" t="s">
        <v>278</v>
      </c>
      <c r="B12" s="128" t="n">
        <v>350</v>
      </c>
      <c r="C12" s="148" t="n">
        <f aca="false">IF($B$6&gt;0,B12/$B$6,0)</f>
        <v>0.35</v>
      </c>
      <c r="D12" s="53" t="n">
        <f aca="false">B11-B12</f>
        <v>30</v>
      </c>
      <c r="E12" s="148" t="n">
        <f aca="false">IF(B11&gt;0,(B11-B12)/B11,0)</f>
        <v>0.0789473684210526</v>
      </c>
      <c r="F12" s="149" t="s">
        <v>279</v>
      </c>
      <c r="G12" s="55" t="str">
        <f aca="false">IF(C12&gt;=0.9,"✅ On Track","⚠️ Below Target")</f>
        <v>⚠️ Below Target</v>
      </c>
    </row>
    <row r="13" customFormat="false" ht="15" hidden="false" customHeight="true" outlineLevel="0" collapsed="false">
      <c r="A13" s="150" t="s">
        <v>280</v>
      </c>
      <c r="B13" s="128" t="n">
        <v>343</v>
      </c>
      <c r="C13" s="151" t="n">
        <f aca="false">IF($B$6&gt;0,B13/$B$6,0)</f>
        <v>0.343</v>
      </c>
      <c r="D13" s="57" t="n">
        <f aca="false">B12-B13</f>
        <v>7</v>
      </c>
      <c r="E13" s="151" t="n">
        <f aca="false">IF(B12&gt;0,(B12-B13)/B12,0)</f>
        <v>0.02</v>
      </c>
      <c r="F13" s="114" t="s">
        <v>281</v>
      </c>
      <c r="G13" s="59" t="str">
        <f aca="false">IF(C13&gt;=0.98,"✅ On Track","⚠️ Below Target")</f>
        <v>⚠️ Below Target</v>
      </c>
    </row>
    <row r="15" customFormat="false" ht="18" hidden="false" customHeight="true" outlineLevel="0" collapsed="false">
      <c r="A15" s="33" t="s">
        <v>282</v>
      </c>
      <c r="B15" s="33"/>
      <c r="C15" s="33"/>
      <c r="D15" s="33"/>
      <c r="E15" s="33"/>
      <c r="F15" s="33"/>
      <c r="G15" s="33"/>
    </row>
    <row r="16" customFormat="false" ht="18" hidden="false" customHeight="true" outlineLevel="0" collapsed="false">
      <c r="A16" s="20" t="s">
        <v>8</v>
      </c>
      <c r="B16" s="20" t="s">
        <v>283</v>
      </c>
      <c r="C16" s="20" t="s">
        <v>284</v>
      </c>
      <c r="D16" s="20" t="s">
        <v>285</v>
      </c>
      <c r="E16" s="20" t="s">
        <v>286</v>
      </c>
      <c r="F16" s="20" t="s">
        <v>287</v>
      </c>
      <c r="G16" s="20" t="s">
        <v>288</v>
      </c>
    </row>
    <row r="17" customFormat="false" ht="15" hidden="false" customHeight="true" outlineLevel="0" collapsed="false">
      <c r="A17" s="21" t="s">
        <v>15</v>
      </c>
      <c r="B17" s="63" t="n">
        <v>100</v>
      </c>
      <c r="C17" s="23" t="n">
        <f aca="false">Revenue!D5</f>
        <v>100</v>
      </c>
      <c r="D17" s="128" t="n">
        <v>95</v>
      </c>
      <c r="E17" s="128" t="n">
        <v>90</v>
      </c>
      <c r="F17" s="23" t="n">
        <f aca="false">C17-D17</f>
        <v>5</v>
      </c>
      <c r="G17" s="24" t="n">
        <f aca="false">IF(C17&gt;0,E17/C17,0)</f>
        <v>0.9</v>
      </c>
    </row>
    <row r="18" customFormat="false" ht="15" hidden="false" customHeight="true" outlineLevel="0" collapsed="false">
      <c r="A18" s="25" t="s">
        <v>16</v>
      </c>
      <c r="B18" s="66" t="n">
        <v>100</v>
      </c>
      <c r="C18" s="27" t="n">
        <f aca="false">Revenue!D6</f>
        <v>100</v>
      </c>
      <c r="D18" s="128" t="n">
        <v>96</v>
      </c>
      <c r="E18" s="128" t="n">
        <v>92</v>
      </c>
      <c r="F18" s="27" t="n">
        <f aca="false">C18-D18</f>
        <v>4</v>
      </c>
      <c r="G18" s="28" t="n">
        <f aca="false">IF(C18&gt;0,E18/C18,0)</f>
        <v>0.92</v>
      </c>
    </row>
    <row r="19" customFormat="false" ht="15" hidden="false" customHeight="true" outlineLevel="0" collapsed="false">
      <c r="A19" s="21" t="s">
        <v>17</v>
      </c>
      <c r="B19" s="63" t="n">
        <v>50</v>
      </c>
      <c r="C19" s="23" t="n">
        <f aca="false">Revenue!D7</f>
        <v>50</v>
      </c>
      <c r="D19" s="128" t="n">
        <v>48</v>
      </c>
      <c r="E19" s="128" t="n">
        <v>46</v>
      </c>
      <c r="F19" s="23" t="n">
        <f aca="false">C19-D19</f>
        <v>2</v>
      </c>
      <c r="G19" s="24" t="n">
        <f aca="false">IF(C19&gt;0,E19/C19,0)</f>
        <v>0.92</v>
      </c>
    </row>
    <row r="20" customFormat="false" ht="15" hidden="false" customHeight="true" outlineLevel="0" collapsed="false">
      <c r="A20" s="25" t="s">
        <v>18</v>
      </c>
      <c r="B20" s="66" t="n">
        <v>100</v>
      </c>
      <c r="C20" s="27" t="n">
        <f aca="false">Revenue!D8</f>
        <v>100</v>
      </c>
      <c r="D20" s="128" t="n">
        <v>98</v>
      </c>
      <c r="E20" s="128" t="n">
        <v>95</v>
      </c>
      <c r="F20" s="27" t="n">
        <f aca="false">C20-D20</f>
        <v>2</v>
      </c>
      <c r="G20" s="28" t="n">
        <f aca="false">IF(C20&gt;0,E20/C20,0)</f>
        <v>0.95</v>
      </c>
    </row>
    <row r="21" customFormat="false" ht="15" hidden="false" customHeight="true" outlineLevel="0" collapsed="false">
      <c r="A21" s="21" t="s">
        <v>19</v>
      </c>
      <c r="B21" s="63" t="n">
        <v>50</v>
      </c>
      <c r="C21" s="23" t="n">
        <f aca="false">Revenue!D9</f>
        <v>50</v>
      </c>
      <c r="D21" s="128" t="n">
        <v>47</v>
      </c>
      <c r="E21" s="128" t="n">
        <v>45</v>
      </c>
      <c r="F21" s="23" t="n">
        <f aca="false">C21-D21</f>
        <v>3</v>
      </c>
      <c r="G21" s="24" t="n">
        <f aca="false">IF(C21&gt;0,E21/C21,0)</f>
        <v>0.9</v>
      </c>
    </row>
    <row r="22" customFormat="false" ht="15" hidden="false" customHeight="true" outlineLevel="0" collapsed="false">
      <c r="A22" s="25" t="s">
        <v>20</v>
      </c>
      <c r="B22" s="66" t="n">
        <v>20</v>
      </c>
      <c r="C22" s="27" t="n">
        <f aca="false">Revenue!D10</f>
        <v>20</v>
      </c>
      <c r="D22" s="128" t="n">
        <v>18</v>
      </c>
      <c r="E22" s="128" t="n">
        <v>17</v>
      </c>
      <c r="F22" s="27" t="n">
        <f aca="false">C22-D22</f>
        <v>2</v>
      </c>
      <c r="G22" s="28" t="n">
        <f aca="false">IF(C22&gt;0,E22/C22,0)</f>
        <v>0.85</v>
      </c>
    </row>
    <row r="23" customFormat="false" ht="15" hidden="false" customHeight="true" outlineLevel="0" collapsed="false">
      <c r="A23" s="29" t="s">
        <v>21</v>
      </c>
      <c r="B23" s="30" t="n">
        <f aca="false">SUM(B17:B22)</f>
        <v>420</v>
      </c>
      <c r="C23" s="30" t="n">
        <f aca="false">Revenue!D11</f>
        <v>420</v>
      </c>
      <c r="D23" s="30" t="n">
        <f aca="false">SUM(D17:D22)</f>
        <v>402</v>
      </c>
      <c r="E23" s="30" t="n">
        <f aca="false">SUM(E17:E22)</f>
        <v>385</v>
      </c>
      <c r="F23" s="30" t="n">
        <f aca="false">SUM(F17:F22)</f>
        <v>18</v>
      </c>
      <c r="G23" s="32" t="n">
        <f aca="false">IF(C23&gt;0,E23/C23,0)</f>
        <v>0.916666666666667</v>
      </c>
    </row>
    <row r="24" customFormat="false" ht="15" hidden="false" customHeight="true" outlineLevel="0" collapsed="false">
      <c r="A24" s="25"/>
      <c r="B24" s="66"/>
      <c r="C24" s="27"/>
      <c r="D24" s="128"/>
      <c r="E24" s="128"/>
      <c r="F24" s="27"/>
      <c r="G24" s="28"/>
    </row>
    <row r="25" customFormat="false" ht="15" hidden="false" customHeight="true" outlineLevel="0" collapsed="false">
      <c r="A25" s="29"/>
      <c r="B25" s="30"/>
      <c r="C25" s="30"/>
      <c r="D25" s="30"/>
      <c r="E25" s="30"/>
      <c r="F25" s="30"/>
      <c r="G25" s="32"/>
    </row>
    <row r="27" customFormat="false" ht="18" hidden="false" customHeight="true" outlineLevel="0" collapsed="false">
      <c r="A27" s="77" t="s">
        <v>289</v>
      </c>
      <c r="B27" s="77"/>
      <c r="C27" s="77"/>
      <c r="D27" s="77"/>
      <c r="E27" s="77"/>
      <c r="F27" s="77"/>
      <c r="G27" s="77"/>
    </row>
    <row r="28" customFormat="false" ht="18" hidden="false" customHeight="true" outlineLevel="0" collapsed="false">
      <c r="A28" s="20" t="s">
        <v>191</v>
      </c>
      <c r="B28" s="20" t="s">
        <v>208</v>
      </c>
      <c r="C28" s="20" t="s">
        <v>290</v>
      </c>
    </row>
    <row r="29" customFormat="false" ht="15" hidden="false" customHeight="true" outlineLevel="0" collapsed="false">
      <c r="A29" s="21" t="s">
        <v>291</v>
      </c>
      <c r="B29" s="24" t="n">
        <f aca="false">IF(B6&gt;0,B7/B6,0)</f>
        <v>0.7</v>
      </c>
      <c r="C29" s="109" t="s">
        <v>292</v>
      </c>
      <c r="D29" s="109"/>
      <c r="E29" s="109"/>
      <c r="F29" s="109"/>
      <c r="G29" s="109"/>
    </row>
    <row r="30" customFormat="false" ht="15" hidden="false" customHeight="true" outlineLevel="0" collapsed="false">
      <c r="A30" s="25" t="s">
        <v>293</v>
      </c>
      <c r="B30" s="28" t="n">
        <f aca="false">IF(B7&gt;0,B8/B7,0)</f>
        <v>0.571428571428571</v>
      </c>
      <c r="C30" s="111" t="s">
        <v>294</v>
      </c>
      <c r="D30" s="111"/>
      <c r="E30" s="111"/>
      <c r="F30" s="111"/>
      <c r="G30" s="111"/>
    </row>
    <row r="31" customFormat="false" ht="15" hidden="false" customHeight="true" outlineLevel="0" collapsed="false">
      <c r="A31" s="21" t="s">
        <v>295</v>
      </c>
      <c r="B31" s="24" t="n">
        <f aca="false">IF(B8&gt;0,B9/B8,0)</f>
        <v>0.5</v>
      </c>
      <c r="C31" s="109" t="s">
        <v>296</v>
      </c>
      <c r="D31" s="109"/>
      <c r="E31" s="109"/>
      <c r="F31" s="109"/>
      <c r="G31" s="109"/>
    </row>
    <row r="32" customFormat="false" ht="15" hidden="false" customHeight="true" outlineLevel="0" collapsed="false">
      <c r="A32" s="25" t="s">
        <v>297</v>
      </c>
      <c r="B32" s="28" t="n">
        <f aca="false">IF(B9&gt;0,B10/B9,0)</f>
        <v>0</v>
      </c>
      <c r="C32" s="111" t="s">
        <v>298</v>
      </c>
      <c r="D32" s="111"/>
      <c r="E32" s="111"/>
      <c r="F32" s="111"/>
      <c r="G32" s="111"/>
    </row>
    <row r="33" customFormat="false" ht="15" hidden="false" customHeight="true" outlineLevel="0" collapsed="false">
      <c r="A33" s="104" t="s">
        <v>299</v>
      </c>
      <c r="B33" s="152" t="n">
        <f aca="false">IF(B6&gt;0,B10/B6,0)</f>
        <v>0</v>
      </c>
      <c r="C33" s="114" t="s">
        <v>300</v>
      </c>
      <c r="D33" s="114"/>
      <c r="E33" s="114"/>
      <c r="F33" s="114"/>
      <c r="G33" s="114"/>
    </row>
    <row r="34" customFormat="false" ht="15" hidden="false" customHeight="true" outlineLevel="0" collapsed="false">
      <c r="A34" s="104" t="s">
        <v>301</v>
      </c>
      <c r="B34" s="152" t="n">
        <f aca="false">IF(B10&gt;0,B12/B10,0)</f>
        <v>0</v>
      </c>
      <c r="C34" s="114" t="s">
        <v>302</v>
      </c>
      <c r="D34" s="114"/>
      <c r="E34" s="114"/>
      <c r="F34" s="114"/>
      <c r="G34" s="114"/>
    </row>
    <row r="35" customFormat="false" ht="15" hidden="false" customHeight="true" outlineLevel="0" collapsed="false">
      <c r="A35" s="21" t="s">
        <v>303</v>
      </c>
      <c r="B35" s="24" t="n">
        <f aca="false">IF(B12&gt;0,B13/B12,0)</f>
        <v>0.98</v>
      </c>
      <c r="C35" s="109" t="s">
        <v>304</v>
      </c>
      <c r="D35" s="109"/>
      <c r="E35" s="109"/>
      <c r="F35" s="109"/>
      <c r="G35" s="109"/>
    </row>
    <row r="36" customFormat="false" ht="15" hidden="false" customHeight="true" outlineLevel="0" collapsed="false">
      <c r="A36" s="25" t="s">
        <v>305</v>
      </c>
      <c r="B36" s="26" t="n">
        <f aca="false">IF(Revenue!D13&gt;0,Expenses!C7/Revenue!D13,0)</f>
        <v>0</v>
      </c>
      <c r="C36" s="111" t="s">
        <v>306</v>
      </c>
      <c r="D36" s="111"/>
      <c r="E36" s="111"/>
      <c r="F36" s="111"/>
      <c r="G36" s="111"/>
    </row>
    <row r="37" customFormat="false" ht="15" hidden="false" customHeight="true" outlineLevel="0" collapsed="false">
      <c r="A37" s="21" t="s">
        <v>307</v>
      </c>
      <c r="B37" s="22" t="n">
        <f aca="false">IF(B6&gt;0,Revenue!E13/B6,0)</f>
        <v>0</v>
      </c>
      <c r="C37" s="109" t="s">
        <v>308</v>
      </c>
      <c r="D37" s="109"/>
      <c r="E37" s="109"/>
      <c r="F37" s="109"/>
      <c r="G37" s="109"/>
    </row>
    <row r="39" customFormat="false" ht="15" hidden="false" customHeight="true" outlineLevel="0" collapsed="false">
      <c r="A39" s="67" t="s">
        <v>309</v>
      </c>
      <c r="B39" s="67"/>
      <c r="C39" s="67"/>
      <c r="D39" s="67"/>
      <c r="E39" s="67"/>
      <c r="F39" s="67"/>
      <c r="G39" s="67"/>
    </row>
  </sheetData>
  <mergeCells count="15">
    <mergeCell ref="A1:G1"/>
    <mergeCell ref="A2:G2"/>
    <mergeCell ref="A4:G4"/>
    <mergeCell ref="A15:G15"/>
    <mergeCell ref="A27:G27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2026-03-08T19:11:24Z</dcterms:created>
  <dc:creator>openpyxl</dc:creator>
  <dc:description/>
  <dc:language>en-US</dc:language>
  <cp:lastModifiedBy/>
  <dcterms:modified xsi:type="dcterms:W3CDTF">2026-03-08T20:24:47Z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