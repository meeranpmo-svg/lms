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yed\Desktop\Montessori\"/>
    </mc:Choice>
  </mc:AlternateContent>
  <xr:revisionPtr revIDLastSave="0" documentId="8_{55B592D7-2104-4446-84A5-F249790B1248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Revenue" sheetId="1" r:id="rId1"/>
    <sheet name="Expenses" sheetId="2" r:id="rId2"/>
    <sheet name="P&amp;L Summary" sheetId="3" r:id="rId3"/>
    <sheet name="Staff &amp; Salari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4" l="1"/>
  <c r="D12" i="4"/>
  <c r="E11" i="4" s="1"/>
  <c r="D11" i="4"/>
  <c r="E10" i="4"/>
  <c r="D10" i="4"/>
  <c r="E9" i="4" s="1"/>
  <c r="D9" i="4"/>
  <c r="E8" i="4"/>
  <c r="D8" i="4"/>
  <c r="D7" i="4"/>
  <c r="E7" i="4" s="1"/>
  <c r="E6" i="4"/>
  <c r="D6" i="4"/>
  <c r="E5" i="4"/>
  <c r="D5" i="4"/>
  <c r="D13" i="4" s="1"/>
  <c r="E12" i="4" s="1"/>
  <c r="C8" i="2"/>
  <c r="C7" i="2"/>
  <c r="C6" i="2"/>
  <c r="C5" i="2"/>
  <c r="D11" i="1"/>
  <c r="E10" i="1"/>
  <c r="F9" i="1"/>
  <c r="G9" i="1" s="1"/>
  <c r="E9" i="1"/>
  <c r="E8" i="1"/>
  <c r="E7" i="1"/>
  <c r="G6" i="1"/>
  <c r="F6" i="1"/>
  <c r="E6" i="1"/>
  <c r="E5" i="1"/>
  <c r="E11" i="1" s="1"/>
  <c r="B6" i="3" s="1"/>
  <c r="G10" i="1" l="1"/>
  <c r="E13" i="4"/>
  <c r="F7" i="1"/>
  <c r="G7" i="1" s="1"/>
  <c r="F5" i="1"/>
  <c r="G5" i="1"/>
  <c r="F8" i="1"/>
  <c r="G8" i="1" s="1"/>
  <c r="F10" i="1"/>
  <c r="G11" i="1" l="1"/>
  <c r="B8" i="3" s="1"/>
  <c r="F11" i="1"/>
  <c r="C10" i="2" l="1"/>
  <c r="C13" i="2" s="1"/>
  <c r="B11" i="3" s="1"/>
  <c r="B13" i="3" s="1"/>
  <c r="B14" i="3" s="1"/>
  <c r="B7" i="3"/>
</calcChain>
</file>

<file path=xl/sharedStrings.xml><?xml version="1.0" encoding="utf-8"?>
<sst xmlns="http://schemas.openxmlformats.org/spreadsheetml/2006/main" count="84" uniqueCount="76">
  <si>
    <t>ANSA MONTESSORI — ANNUAL REVENUE REPORT</t>
  </si>
  <si>
    <t>COURSE-WISE REVENUE PROJECTION (Annual)</t>
  </si>
  <si>
    <t>Course</t>
  </si>
  <si>
    <t>Fee per Student (₹)</t>
  </si>
  <si>
    <t>Duration</t>
  </si>
  <si>
    <t>Admissions (Yearly)</t>
  </si>
  <si>
    <t>Gross Revenue (₹)</t>
  </si>
  <si>
    <t>Exam Fees 20% (₹)</t>
  </si>
  <si>
    <t>Net Revenue (₹)</t>
  </si>
  <si>
    <t>Spoken English</t>
  </si>
  <si>
    <t>3 Months</t>
  </si>
  <si>
    <t>Phonics</t>
  </si>
  <si>
    <t>Child Psychology</t>
  </si>
  <si>
    <t>Montessori &amp; Primary Diploma</t>
  </si>
  <si>
    <t>6 Months</t>
  </si>
  <si>
    <t>Special Needs Education</t>
  </si>
  <si>
    <t>Digital Marketing</t>
  </si>
  <si>
    <t>TOTAL</t>
  </si>
  <si>
    <t>ANSA MONTESSORI — ANNUAL EXPENSE REPORT</t>
  </si>
  <si>
    <t>EXPENSE BREAKDOWN</t>
  </si>
  <si>
    <t>Expense Item</t>
  </si>
  <si>
    <t>Monthly (₹)</t>
  </si>
  <si>
    <t>Annual (₹)</t>
  </si>
  <si>
    <t>Notes</t>
  </si>
  <si>
    <t>Teachers Salaries (7 × ₹10,000)</t>
  </si>
  <si>
    <t>7 teachers @ ₹10,000/month</t>
  </si>
  <si>
    <t>Tele Callers (2 × ₹10,000)</t>
  </si>
  <si>
    <t>2 staff @ ₹10,000/month</t>
  </si>
  <si>
    <t>Advertisement</t>
  </si>
  <si>
    <t>Monthly marketing spend</t>
  </si>
  <si>
    <t>Technology Subscription</t>
  </si>
  <si>
    <t>LMS, tools &amp; platforms</t>
  </si>
  <si>
    <t>Book Printing</t>
  </si>
  <si>
    <t>-</t>
  </si>
  <si>
    <t>One-time yearly print run</t>
  </si>
  <si>
    <t>Exam Fees (20% of Gross Revenue)</t>
  </si>
  <si>
    <t>Linked from Revenue sheet</t>
  </si>
  <si>
    <t>Rent</t>
  </si>
  <si>
    <t>Annual office/campus rent</t>
  </si>
  <si>
    <t>Transport &amp; Miscellaneous</t>
  </si>
  <si>
    <t>Yearly estimate</t>
  </si>
  <si>
    <t>TOTAL ANNUAL EXPENSES</t>
  </si>
  <si>
    <t>ANSA MONTESSORI — PROFIT &amp; LOSS SUMMARY</t>
  </si>
  <si>
    <t>ANNUAL P&amp;L AT A GLANCE</t>
  </si>
  <si>
    <t>Description</t>
  </si>
  <si>
    <t>Amount (₹)</t>
  </si>
  <si>
    <t>Remarks</t>
  </si>
  <si>
    <t>REVENUE</t>
  </si>
  <si>
    <t>Gross Revenue</t>
  </si>
  <si>
    <t>Sum of all course fees</t>
  </si>
  <si>
    <t>Less: Exam Fees (20%)</t>
  </si>
  <si>
    <t>20% deducted as exam fees</t>
  </si>
  <si>
    <t>Net Revenue</t>
  </si>
  <si>
    <t>Net Revenue after exam fee deduction</t>
  </si>
  <si>
    <t>EXPENSES</t>
  </si>
  <si>
    <t>Total Annual Expenses</t>
  </si>
  <si>
    <t>Salaries + Ops + Rent + Books etc.</t>
  </si>
  <si>
    <t>NET PROFIT / (LOSS)</t>
  </si>
  <si>
    <t>Net Revenue minus Total Expenses</t>
  </si>
  <si>
    <t>Profit Margin (%)</t>
  </si>
  <si>
    <t>Net Profit as % of Net Revenue</t>
  </si>
  <si>
    <t>ANSA MONTESSORI — STAFF &amp; SALARY PLAN</t>
  </si>
  <si>
    <t>RECOMMENDED TEACHER DEPLOYMENT</t>
  </si>
  <si>
    <t>Role / Course Assigned</t>
  </si>
  <si>
    <t>Monthly Salary (₹)</t>
  </si>
  <si>
    <t>Count</t>
  </si>
  <si>
    <t>Total Monthly (₹)</t>
  </si>
  <si>
    <t>Annual Cost (₹)</t>
  </si>
  <si>
    <t>Spoken English Teacher</t>
  </si>
  <si>
    <t>Phonics Teacher</t>
  </si>
  <si>
    <t>Child Psychology Instructor</t>
  </si>
  <si>
    <t>Montessori &amp; Primary Diploma Trainer</t>
  </si>
  <si>
    <t>Special Needs Education Specialist</t>
  </si>
  <si>
    <t>Digital Marketing Trainer</t>
  </si>
  <si>
    <t>Tele Caller 1</t>
  </si>
  <si>
    <t>Tele Caller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</si>
</sst>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;&quot;(₹&quot;#,##0\);\-"/>
    <numFmt numFmtId="165" formatCode="0.0%;\(0.0%\);\-"/>
    <numFmt numFmtId="166" formatCode="\₹#,##0"/>
  </numFmts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1B5E20"/>
      <name val="Arial"/>
      <charset val="1"/>
    </font>
    <font>
      <i/>
      <sz val="10"/>
      <color rgb="FF546E7A"/>
      <name val="Arial"/>
      <charset val="1"/>
    </font>
    <font>
      <sz val="10"/>
      <color rgb="FF008000"/>
      <name val="Arial"/>
      <charset val="1"/>
    </font>
    <font>
      <sz val="10"/>
      <color rgb="FFB71C1C"/>
      <name val="Arial"/>
      <charset val="1"/>
    </font>
    <font>
      <b/>
      <sz val="10"/>
      <color rgb="FF263238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2E7D32"/>
        <bgColor rgb="FF1B5E20"/>
      </patternFill>
    </fill>
    <fill>
      <patternFill patternType="solid">
        <fgColor rgb="FF546E7A"/>
        <bgColor rgb="FF808080"/>
      </patternFill>
    </fill>
    <fill>
      <patternFill patternType="solid">
        <fgColor rgb="FFE8F5E9"/>
        <bgColor rgb="FFFFFFFF"/>
      </patternFill>
    </fill>
    <fill>
      <patternFill patternType="solid">
        <fgColor rgb="FFFFFFFF"/>
        <bgColor rgb="FFE8F5E9"/>
      </patternFill>
    </fill>
    <fill>
      <patternFill patternType="solid">
        <fgColor rgb="FFC8E6C9"/>
        <bgColor rgb="FFE8F5E9"/>
      </patternFill>
    </fill>
    <fill>
      <patternFill patternType="solid">
        <fgColor rgb="FFF9A825"/>
        <bgColor rgb="FFFFCC00"/>
      </patternFill>
    </fill>
    <fill>
      <patternFill patternType="solid">
        <fgColor rgb="FFFFF9C4"/>
        <bgColor rgb="FFFFFF99"/>
      </patternFill>
    </fill>
  </fills>
  <borders count="4">
    <border>
      <left/>
      <right/>
      <top/>
      <bottom/>
      <diagonal/>
    </border>
    <border>
      <left style="medium">
        <color rgb="FF1B5E20"/>
      </left>
      <right/>
      <top style="medium">
        <color rgb="FF1B5E20"/>
      </top>
      <bottom style="medium">
        <color rgb="FF1B5E20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164" fontId="4" fillId="6" borderId="2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right" vertical="center"/>
    </xf>
    <xf numFmtId="164" fontId="5" fillId="7" borderId="3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right" vertical="center"/>
    </xf>
    <xf numFmtId="49" fontId="4" fillId="6" borderId="2" xfId="0" applyNumberFormat="1" applyFont="1" applyFill="1" applyBorder="1" applyAlignment="1">
      <alignment horizontal="right" vertical="center"/>
    </xf>
    <xf numFmtId="164" fontId="7" fillId="6" borderId="2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6" fillId="2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164" fontId="8" fillId="6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left" vertical="center"/>
    </xf>
    <xf numFmtId="164" fontId="5" fillId="7" borderId="2" xfId="0" applyNumberFormat="1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left" vertical="center"/>
    </xf>
    <xf numFmtId="0" fontId="0" fillId="6" borderId="2" xfId="0" applyFill="1" applyBorder="1"/>
    <xf numFmtId="0" fontId="9" fillId="8" borderId="2" xfId="0" applyFont="1" applyFill="1" applyBorder="1" applyAlignment="1">
      <alignment horizontal="left" vertical="center"/>
    </xf>
    <xf numFmtId="164" fontId="9" fillId="8" borderId="2" xfId="0" applyNumberFormat="1" applyFont="1" applyFill="1" applyBorder="1" applyAlignment="1">
      <alignment horizontal="right" vertical="center"/>
    </xf>
    <xf numFmtId="0" fontId="6" fillId="8" borderId="2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left" vertical="center"/>
    </xf>
    <xf numFmtId="165" fontId="9" fillId="9" borderId="2" xfId="0" applyNumberFormat="1" applyFont="1" applyFill="1" applyBorder="1" applyAlignment="1">
      <alignment horizontal="right" vertical="center"/>
    </xf>
    <xf numFmtId="0" fontId="6" fillId="9" borderId="2" xfId="0" applyFont="1" applyFill="1" applyBorder="1" applyAlignment="1">
      <alignment horizontal="left" vertical="center"/>
    </xf>
    <xf numFmtId="166" fontId="4" fillId="5" borderId="2" xfId="0" applyNumberFormat="1" applyFont="1" applyFill="1" applyBorder="1" applyAlignment="1">
      <alignment horizontal="right" vertical="center"/>
    </xf>
    <xf numFmtId="166" fontId="4" fillId="6" borderId="2" xfId="0" applyNumberFormat="1" applyFont="1" applyFill="1" applyBorder="1" applyAlignment="1">
      <alignment horizontal="right" vertical="center"/>
    </xf>
    <xf numFmtId="166" fontId="5" fillId="7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9A825"/>
      <rgbColor rgb="FFFF6600"/>
      <rgbColor rgb="FF546E7A"/>
      <rgbColor rgb="FF969696"/>
      <rgbColor rgb="FF003366"/>
      <rgbColor rgb="FF2E7D32"/>
      <rgbColor rgb="FF003300"/>
      <rgbColor rgb="FF1B5E20"/>
      <rgbColor rgb="FFB71C1C"/>
      <rgbColor rgb="FF993366"/>
      <rgbColor rgb="FF333399"/>
      <rgbColor rgb="FF2632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showGridLines="0" zoomScaleNormal="100" workbookViewId="0">
      <selection sqref="A1:G1"/>
    </sheetView>
  </sheetViews>
  <sheetFormatPr defaultColWidth="8.6328125" defaultRowHeight="14.5" x14ac:dyDescent="0.35"/>
  <cols>
    <col min="1" max="1" width="36" customWidth="1"/>
    <col min="2" max="2" width="14" customWidth="1"/>
    <col min="3" max="3" width="12" customWidth="1"/>
    <col min="4" max="7" width="14" customWidth="1"/>
  </cols>
  <sheetData>
    <row r="1" spans="1:7" ht="49.5" customHeight="1" x14ac:dyDescent="0.35">
      <c r="A1" s="2" t="s">
        <v>0</v>
      </c>
      <c r="B1" s="2"/>
      <c r="C1" s="2"/>
      <c r="D1" s="2"/>
      <c r="E1" s="2"/>
      <c r="F1" s="2"/>
      <c r="G1" s="2"/>
    </row>
    <row r="2" spans="1:7" ht="18" customHeight="1" x14ac:dyDescent="0.35"/>
    <row r="3" spans="1:7" ht="15" customHeight="1" x14ac:dyDescent="0.35">
      <c r="A3" s="1" t="s">
        <v>1</v>
      </c>
      <c r="B3" s="1"/>
      <c r="C3" s="1"/>
      <c r="D3" s="1"/>
      <c r="E3" s="1"/>
      <c r="F3" s="1"/>
      <c r="G3" s="1"/>
    </row>
    <row r="4" spans="1:7" ht="30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ht="15" customHeight="1" x14ac:dyDescent="0.35">
      <c r="A5" s="4" t="s">
        <v>9</v>
      </c>
      <c r="B5" s="5">
        <v>4000</v>
      </c>
      <c r="C5" s="6" t="s">
        <v>10</v>
      </c>
      <c r="D5" s="5">
        <v>100</v>
      </c>
      <c r="E5" s="5">
        <f t="shared" ref="E5:E10" si="0">B5*D5</f>
        <v>400000</v>
      </c>
      <c r="F5" s="5">
        <f t="shared" ref="F5:F10" si="1">E5*0.2</f>
        <v>80000</v>
      </c>
      <c r="G5" s="5">
        <f t="shared" ref="G5:G10" si="2">E5-F5</f>
        <v>320000</v>
      </c>
    </row>
    <row r="6" spans="1:7" ht="15" customHeight="1" x14ac:dyDescent="0.35">
      <c r="A6" s="7" t="s">
        <v>11</v>
      </c>
      <c r="B6" s="8">
        <v>4000</v>
      </c>
      <c r="C6" s="9" t="s">
        <v>10</v>
      </c>
      <c r="D6" s="8">
        <v>100</v>
      </c>
      <c r="E6" s="8">
        <f t="shared" si="0"/>
        <v>400000</v>
      </c>
      <c r="F6" s="8">
        <f t="shared" si="1"/>
        <v>80000</v>
      </c>
      <c r="G6" s="8">
        <f t="shared" si="2"/>
        <v>320000</v>
      </c>
    </row>
    <row r="7" spans="1:7" ht="15" customHeight="1" x14ac:dyDescent="0.35">
      <c r="A7" s="4" t="s">
        <v>12</v>
      </c>
      <c r="B7" s="5">
        <v>6000</v>
      </c>
      <c r="C7" s="6" t="s">
        <v>10</v>
      </c>
      <c r="D7" s="5">
        <v>50</v>
      </c>
      <c r="E7" s="5">
        <f t="shared" si="0"/>
        <v>300000</v>
      </c>
      <c r="F7" s="5">
        <f t="shared" si="1"/>
        <v>60000</v>
      </c>
      <c r="G7" s="5">
        <f t="shared" si="2"/>
        <v>240000</v>
      </c>
    </row>
    <row r="8" spans="1:7" ht="15" customHeight="1" x14ac:dyDescent="0.35">
      <c r="A8" s="7" t="s">
        <v>13</v>
      </c>
      <c r="B8" s="8">
        <v>25000</v>
      </c>
      <c r="C8" s="9" t="s">
        <v>14</v>
      </c>
      <c r="D8" s="8">
        <v>100</v>
      </c>
      <c r="E8" s="8">
        <f t="shared" si="0"/>
        <v>2500000</v>
      </c>
      <c r="F8" s="8">
        <f t="shared" si="1"/>
        <v>500000</v>
      </c>
      <c r="G8" s="8">
        <f t="shared" si="2"/>
        <v>2000000</v>
      </c>
    </row>
    <row r="9" spans="1:7" ht="15" customHeight="1" x14ac:dyDescent="0.35">
      <c r="A9" s="4" t="s">
        <v>15</v>
      </c>
      <c r="B9" s="5">
        <v>9000</v>
      </c>
      <c r="C9" s="6" t="s">
        <v>14</v>
      </c>
      <c r="D9" s="5">
        <v>50</v>
      </c>
      <c r="E9" s="5">
        <f t="shared" si="0"/>
        <v>450000</v>
      </c>
      <c r="F9" s="5">
        <f t="shared" si="1"/>
        <v>90000</v>
      </c>
      <c r="G9" s="5">
        <f t="shared" si="2"/>
        <v>360000</v>
      </c>
    </row>
    <row r="10" spans="1:7" ht="15" customHeight="1" x14ac:dyDescent="0.35">
      <c r="A10" s="7" t="s">
        <v>16</v>
      </c>
      <c r="B10" s="8">
        <v>15000</v>
      </c>
      <c r="C10" s="9" t="s">
        <v>10</v>
      </c>
      <c r="D10" s="8">
        <v>20</v>
      </c>
      <c r="E10" s="8">
        <f t="shared" si="0"/>
        <v>300000</v>
      </c>
      <c r="F10" s="8">
        <f t="shared" si="1"/>
        <v>60000</v>
      </c>
      <c r="G10" s="8">
        <f t="shared" si="2"/>
        <v>240000</v>
      </c>
    </row>
    <row r="11" spans="1:7" ht="15" customHeight="1" x14ac:dyDescent="0.35">
      <c r="A11" s="10" t="s">
        <v>17</v>
      </c>
      <c r="B11" s="11"/>
      <c r="C11" s="11"/>
      <c r="D11" s="12">
        <f>SUM(D5:D10)</f>
        <v>420</v>
      </c>
      <c r="E11" s="12">
        <f>SUM(E5:E10)</f>
        <v>4350000</v>
      </c>
      <c r="F11" s="12">
        <f>SUM(F5:F10)</f>
        <v>870000</v>
      </c>
      <c r="G11" s="12">
        <f>SUM(G5:G10)</f>
        <v>3480000</v>
      </c>
    </row>
    <row r="12" spans="1:7" ht="15" customHeight="1" x14ac:dyDescent="0.35"/>
    <row r="13" spans="1:7" ht="21.75" customHeight="1" x14ac:dyDescent="0.35"/>
  </sheetData>
  <mergeCells count="2">
    <mergeCell ref="A1:G1"/>
    <mergeCell ref="A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zoomScaleNormal="100" workbookViewId="0">
      <selection sqref="A1:D1"/>
    </sheetView>
  </sheetViews>
  <sheetFormatPr defaultColWidth="8.6328125" defaultRowHeight="14.5" x14ac:dyDescent="0.35"/>
  <cols>
    <col min="1" max="1" width="38" customWidth="1"/>
    <col min="2" max="3" width="20" customWidth="1"/>
    <col min="4" max="4" width="24.1796875" customWidth="1"/>
  </cols>
  <sheetData>
    <row r="1" spans="1:4" ht="49.5" customHeight="1" x14ac:dyDescent="0.35">
      <c r="A1" s="2" t="s">
        <v>18</v>
      </c>
      <c r="B1" s="2"/>
      <c r="C1" s="2"/>
      <c r="D1" s="2"/>
    </row>
    <row r="3" spans="1:4" ht="15" customHeight="1" x14ac:dyDescent="0.35">
      <c r="A3" s="1" t="s">
        <v>19</v>
      </c>
      <c r="B3" s="1"/>
      <c r="C3" s="1"/>
      <c r="D3" s="1"/>
    </row>
    <row r="4" spans="1:4" ht="27.75" customHeight="1" x14ac:dyDescent="0.35">
      <c r="A4" s="13" t="s">
        <v>20</v>
      </c>
      <c r="B4" s="13" t="s">
        <v>21</v>
      </c>
      <c r="C4" s="13" t="s">
        <v>22</v>
      </c>
      <c r="D4" s="13" t="s">
        <v>23</v>
      </c>
    </row>
    <row r="5" spans="1:4" ht="15" customHeight="1" x14ac:dyDescent="0.35">
      <c r="A5" s="4" t="s">
        <v>24</v>
      </c>
      <c r="B5" s="5">
        <v>70000</v>
      </c>
      <c r="C5" s="5">
        <f>B5*12</f>
        <v>840000</v>
      </c>
      <c r="D5" s="14" t="s">
        <v>25</v>
      </c>
    </row>
    <row r="6" spans="1:4" ht="15" customHeight="1" x14ac:dyDescent="0.35">
      <c r="A6" s="7" t="s">
        <v>26</v>
      </c>
      <c r="B6" s="8">
        <v>20000</v>
      </c>
      <c r="C6" s="8">
        <f>B6*12</f>
        <v>240000</v>
      </c>
      <c r="D6" s="15" t="s">
        <v>27</v>
      </c>
    </row>
    <row r="7" spans="1:4" ht="15" customHeight="1" x14ac:dyDescent="0.35">
      <c r="A7" s="4" t="s">
        <v>28</v>
      </c>
      <c r="B7" s="5">
        <v>20000</v>
      </c>
      <c r="C7" s="5">
        <f>B7*12</f>
        <v>240000</v>
      </c>
      <c r="D7" s="14" t="s">
        <v>29</v>
      </c>
    </row>
    <row r="8" spans="1:4" ht="15" customHeight="1" x14ac:dyDescent="0.35">
      <c r="A8" s="7" t="s">
        <v>30</v>
      </c>
      <c r="B8" s="8">
        <v>30000</v>
      </c>
      <c r="C8" s="8">
        <f>B8*12</f>
        <v>360000</v>
      </c>
      <c r="D8" s="15" t="s">
        <v>31</v>
      </c>
    </row>
    <row r="9" spans="1:4" ht="15" customHeight="1" x14ac:dyDescent="0.35">
      <c r="A9" s="4" t="s">
        <v>32</v>
      </c>
      <c r="B9" s="16" t="s">
        <v>33</v>
      </c>
      <c r="C9" s="5">
        <v>200000</v>
      </c>
      <c r="D9" s="14" t="s">
        <v>34</v>
      </c>
    </row>
    <row r="10" spans="1:4" ht="15" customHeight="1" x14ac:dyDescent="0.35">
      <c r="A10" s="7" t="s">
        <v>35</v>
      </c>
      <c r="B10" s="17" t="s">
        <v>33</v>
      </c>
      <c r="C10" s="18">
        <f>Revenue!F11</f>
        <v>870000</v>
      </c>
      <c r="D10" s="15" t="s">
        <v>36</v>
      </c>
    </row>
    <row r="11" spans="1:4" ht="15" customHeight="1" x14ac:dyDescent="0.35">
      <c r="A11" s="4" t="s">
        <v>37</v>
      </c>
      <c r="B11" s="16" t="s">
        <v>33</v>
      </c>
      <c r="C11" s="5">
        <v>300000</v>
      </c>
      <c r="D11" s="14" t="s">
        <v>38</v>
      </c>
    </row>
    <row r="12" spans="1:4" ht="15" customHeight="1" x14ac:dyDescent="0.35">
      <c r="A12" s="7" t="s">
        <v>39</v>
      </c>
      <c r="B12" s="17" t="s">
        <v>33</v>
      </c>
      <c r="C12" s="8">
        <v>100000</v>
      </c>
      <c r="D12" s="15" t="s">
        <v>40</v>
      </c>
    </row>
    <row r="13" spans="1:4" ht="21.75" customHeight="1" x14ac:dyDescent="0.35">
      <c r="A13" s="10" t="s">
        <v>41</v>
      </c>
      <c r="B13" s="11"/>
      <c r="C13" s="12">
        <f>SUM(C5:C12)</f>
        <v>3150000</v>
      </c>
      <c r="D13" s="11"/>
    </row>
  </sheetData>
  <mergeCells count="2">
    <mergeCell ref="A1:D1"/>
    <mergeCell ref="A3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showGridLines="0" tabSelected="1" zoomScaleNormal="100" workbookViewId="0">
      <selection activeCell="B8" sqref="B8"/>
    </sheetView>
  </sheetViews>
  <sheetFormatPr defaultColWidth="8.6328125" defaultRowHeight="14.5" x14ac:dyDescent="0.35"/>
  <cols>
    <col min="1" max="1" width="40" customWidth="1"/>
    <col min="2" max="2" width="22" customWidth="1"/>
    <col min="3" max="3" width="37.54296875" customWidth="1"/>
  </cols>
  <sheetData>
    <row r="1" spans="1:3" ht="49.5" customHeight="1" x14ac:dyDescent="0.35">
      <c r="A1" s="2" t="s">
        <v>42</v>
      </c>
      <c r="B1" s="2"/>
      <c r="C1" s="2"/>
    </row>
    <row r="3" spans="1:3" ht="15" customHeight="1" x14ac:dyDescent="0.35">
      <c r="A3" s="1" t="s">
        <v>43</v>
      </c>
      <c r="B3" s="1"/>
      <c r="C3" s="1"/>
    </row>
    <row r="4" spans="1:3" ht="27.75" customHeight="1" x14ac:dyDescent="0.35">
      <c r="A4" s="13" t="s">
        <v>44</v>
      </c>
      <c r="B4" s="13" t="s">
        <v>45</v>
      </c>
      <c r="C4" s="13" t="s">
        <v>46</v>
      </c>
    </row>
    <row r="5" spans="1:3" ht="15" customHeight="1" x14ac:dyDescent="0.35">
      <c r="A5" s="19" t="s">
        <v>47</v>
      </c>
      <c r="B5" s="20"/>
      <c r="C5" s="21"/>
    </row>
    <row r="6" spans="1:3" ht="15" customHeight="1" x14ac:dyDescent="0.35">
      <c r="A6" s="4" t="s">
        <v>48</v>
      </c>
      <c r="B6" s="5">
        <f>Revenue!E11</f>
        <v>4350000</v>
      </c>
      <c r="C6" s="14" t="s">
        <v>49</v>
      </c>
    </row>
    <row r="7" spans="1:3" ht="15" customHeight="1" x14ac:dyDescent="0.35">
      <c r="A7" s="22" t="s">
        <v>50</v>
      </c>
      <c r="B7" s="23">
        <f>Revenue!F11</f>
        <v>870000</v>
      </c>
      <c r="C7" s="15" t="s">
        <v>51</v>
      </c>
    </row>
    <row r="8" spans="1:3" ht="15" customHeight="1" x14ac:dyDescent="0.35">
      <c r="A8" s="24" t="s">
        <v>52</v>
      </c>
      <c r="B8" s="25">
        <f>Revenue!G11</f>
        <v>3480000</v>
      </c>
      <c r="C8" s="26" t="s">
        <v>53</v>
      </c>
    </row>
    <row r="9" spans="1:3" ht="15" customHeight="1" x14ac:dyDescent="0.35">
      <c r="A9" s="7"/>
      <c r="B9" s="27"/>
      <c r="C9" s="15"/>
    </row>
    <row r="10" spans="1:3" ht="15" customHeight="1" x14ac:dyDescent="0.35">
      <c r="A10" s="19" t="s">
        <v>54</v>
      </c>
      <c r="B10" s="20"/>
      <c r="C10" s="21"/>
    </row>
    <row r="11" spans="1:3" ht="15" customHeight="1" x14ac:dyDescent="0.35">
      <c r="A11" s="22" t="s">
        <v>55</v>
      </c>
      <c r="B11" s="23">
        <f>Expenses!C13</f>
        <v>3150000</v>
      </c>
      <c r="C11" s="15" t="s">
        <v>56</v>
      </c>
    </row>
    <row r="12" spans="1:3" ht="15" customHeight="1" x14ac:dyDescent="0.35">
      <c r="A12" s="7"/>
      <c r="B12" s="27"/>
      <c r="C12" s="15"/>
    </row>
    <row r="13" spans="1:3" ht="15" customHeight="1" x14ac:dyDescent="0.35">
      <c r="A13" s="28" t="s">
        <v>57</v>
      </c>
      <c r="B13" s="29">
        <f>B8-B11</f>
        <v>330000</v>
      </c>
      <c r="C13" s="30" t="s">
        <v>58</v>
      </c>
    </row>
    <row r="14" spans="1:3" ht="15" customHeight="1" x14ac:dyDescent="0.35">
      <c r="A14" s="31" t="s">
        <v>59</v>
      </c>
      <c r="B14" s="32">
        <f>IF(B8&gt;0,B13/B8,0)</f>
        <v>9.4827586206896547E-2</v>
      </c>
      <c r="C14" s="33" t="s">
        <v>60</v>
      </c>
    </row>
  </sheetData>
  <mergeCells count="2">
    <mergeCell ref="A1:C1"/>
    <mergeCell ref="A3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showGridLines="0" zoomScaleNormal="100" workbookViewId="0">
      <selection sqref="A1:E1"/>
    </sheetView>
  </sheetViews>
  <sheetFormatPr defaultColWidth="8.6328125" defaultRowHeight="14.5" x14ac:dyDescent="0.35"/>
  <cols>
    <col min="1" max="1" width="30" customWidth="1"/>
    <col min="2" max="2" width="16" customWidth="1"/>
    <col min="3" max="3" width="12" customWidth="1"/>
    <col min="4" max="4" width="16" customWidth="1"/>
    <col min="5" max="5" width="18" customWidth="1"/>
  </cols>
  <sheetData>
    <row r="1" spans="1:5" ht="49.5" customHeight="1" x14ac:dyDescent="0.35">
      <c r="A1" s="2" t="s">
        <v>61</v>
      </c>
      <c r="B1" s="2"/>
      <c r="C1" s="2"/>
      <c r="D1" s="2"/>
      <c r="E1" s="2"/>
    </row>
    <row r="3" spans="1:5" ht="15" customHeight="1" x14ac:dyDescent="0.35">
      <c r="A3" s="1" t="s">
        <v>62</v>
      </c>
      <c r="B3" s="1"/>
      <c r="C3" s="1"/>
      <c r="D3" s="1"/>
      <c r="E3" s="1"/>
    </row>
    <row r="4" spans="1:5" ht="30" customHeight="1" x14ac:dyDescent="0.35">
      <c r="A4" s="3" t="s">
        <v>63</v>
      </c>
      <c r="B4" s="3" t="s">
        <v>64</v>
      </c>
      <c r="C4" s="3" t="s">
        <v>65</v>
      </c>
      <c r="D4" s="3" t="s">
        <v>66</v>
      </c>
      <c r="E4" s="3" t="s">
        <v>67</v>
      </c>
    </row>
    <row r="5" spans="1:5" ht="15" customHeight="1" x14ac:dyDescent="0.35">
      <c r="A5" s="4" t="s">
        <v>68</v>
      </c>
      <c r="B5" s="5">
        <v>10000</v>
      </c>
      <c r="C5" s="5">
        <v>1</v>
      </c>
      <c r="D5" s="34">
        <f>B5*C5</f>
        <v>10000</v>
      </c>
      <c r="E5" s="34">
        <f>D5*12</f>
        <v>120000</v>
      </c>
    </row>
    <row r="6" spans="1:5" ht="15" customHeight="1" x14ac:dyDescent="0.35">
      <c r="A6" s="7" t="s">
        <v>69</v>
      </c>
      <c r="B6" s="8">
        <v>10000</v>
      </c>
      <c r="C6" s="8">
        <v>1</v>
      </c>
      <c r="D6" s="35">
        <f>B6*C6</f>
        <v>10000</v>
      </c>
      <c r="E6" s="35">
        <f>D6*12</f>
        <v>120000</v>
      </c>
    </row>
    <row r="7" spans="1:5" ht="15" customHeight="1" x14ac:dyDescent="0.35">
      <c r="A7" s="4" t="s">
        <v>70</v>
      </c>
      <c r="B7" s="5">
        <v>10000</v>
      </c>
      <c r="C7" s="5">
        <v>1</v>
      </c>
      <c r="D7" s="34">
        <f>B7*C7</f>
        <v>10000</v>
      </c>
      <c r="E7" s="34">
        <f>D7*12</f>
        <v>120000</v>
      </c>
    </row>
    <row r="8" spans="1:5" ht="15" customHeight="1" x14ac:dyDescent="0.35">
      <c r="A8" s="7" t="s">
        <v>71</v>
      </c>
      <c r="B8" s="8">
        <v>10000</v>
      </c>
      <c r="C8" s="8">
        <v>2</v>
      </c>
      <c r="D8" s="35">
        <f>B9*C9</f>
        <v>10000</v>
      </c>
      <c r="E8" s="35">
        <f>D9*12</f>
        <v>120000</v>
      </c>
    </row>
    <row r="9" spans="1:5" ht="15" customHeight="1" x14ac:dyDescent="0.35">
      <c r="A9" s="4" t="s">
        <v>72</v>
      </c>
      <c r="B9" s="5">
        <v>10000</v>
      </c>
      <c r="C9" s="5">
        <v>1</v>
      </c>
      <c r="D9" s="34">
        <f>B10*C10</f>
        <v>10000</v>
      </c>
      <c r="E9" s="34">
        <f>D10*12</f>
        <v>120000</v>
      </c>
    </row>
    <row r="10" spans="1:5" ht="15" customHeight="1" x14ac:dyDescent="0.35">
      <c r="A10" s="7" t="s">
        <v>73</v>
      </c>
      <c r="B10" s="8">
        <v>10000</v>
      </c>
      <c r="C10" s="8">
        <v>1</v>
      </c>
      <c r="D10" s="35">
        <f>B11*C11</f>
        <v>10000</v>
      </c>
      <c r="E10" s="35">
        <f>D11*12</f>
        <v>120000</v>
      </c>
    </row>
    <row r="11" spans="1:5" ht="15" customHeight="1" x14ac:dyDescent="0.35">
      <c r="A11" s="4" t="s">
        <v>74</v>
      </c>
      <c r="B11" s="5">
        <v>10000</v>
      </c>
      <c r="C11" s="5">
        <v>1</v>
      </c>
      <c r="D11" s="34">
        <f>B12*C12</f>
        <v>10000</v>
      </c>
      <c r="E11" s="34">
        <f>D12*12</f>
        <v>0</v>
      </c>
    </row>
    <row r="12" spans="1:5" ht="15" customHeight="1" x14ac:dyDescent="0.35">
      <c r="A12" s="7" t="s">
        <v>75</v>
      </c>
      <c r="B12" s="8">
        <v>10000</v>
      </c>
      <c r="C12" s="8">
        <v>1</v>
      </c>
      <c r="D12" s="35">
        <f>B13*C13</f>
        <v>0</v>
      </c>
      <c r="E12" s="35">
        <f>D13*12</f>
        <v>840000</v>
      </c>
    </row>
    <row r="13" spans="1:5" ht="15" customHeight="1" x14ac:dyDescent="0.35">
      <c r="A13" s="10" t="s">
        <v>17</v>
      </c>
      <c r="B13" s="11"/>
      <c r="C13" s="36">
        <f>SUM(C5:C12)</f>
        <v>9</v>
      </c>
      <c r="D13" s="36">
        <f>SUM(D5:D12)</f>
        <v>70000</v>
      </c>
      <c r="E13" s="36">
        <f>SUM(E5:E12)</f>
        <v>1560000</v>
      </c>
    </row>
    <row r="14" spans="1:5" ht="21.75" customHeight="1" x14ac:dyDescent="0.35"/>
  </sheetData>
  <mergeCells count="2">
    <mergeCell ref="A1:E1"/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Revenue</vt:lpstr>
      <vt:lpstr>Expenses</vt:lpstr>
      <vt:lpstr>P&amp;L Summary</vt:lpstr>
      <vt:lpstr>Staff &amp; Salaries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Syed Mohammed</cp:lastModifiedBy>
  <cp:revision>0</cp:revision>
  <dcterms:created xsi:type="dcterms:W3CDTF">2026-03-08T13:00:28Z</dcterms:created>
  <dcterms:modified xsi:type="dcterms:W3CDTF">2026-03-08T13:12:28Z</dcterms:modified>
  <dc:language>en-US</dc:language>
</cp:coreProperties>
</file>