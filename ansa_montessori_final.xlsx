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yed\Desktop\Montessori\"/>
    </mc:Choice>
  </mc:AlternateContent>
  <xr:revisionPtr revIDLastSave="0" documentId="8_{38287F95-98C4-4140-B168-2AC2F929BBBD}" xr6:coauthVersionLast="47" xr6:coauthVersionMax="47" xr10:uidLastSave="{00000000-0000-0000-0000-000000000000}"/>
  <bookViews>
    <workbookView xWindow="-110" yWindow="-110" windowWidth="19420" windowHeight="10300" firstSheet="8" activeTab="11" xr2:uid="{00000000-000D-0000-FFFF-FFFF00000000}"/>
  </bookViews>
  <sheets>
    <sheet name="Dashboard" sheetId="1" r:id="rId1"/>
    <sheet name="Revenue" sheetId="2" r:id="rId2"/>
    <sheet name="Expenses" sheetId="3" r:id="rId3"/>
    <sheet name="P&amp;L Summary" sheetId="4" r:id="rId4"/>
    <sheet name="Staff &amp; Salaries" sheetId="5" r:id="rId5"/>
    <sheet name="Course Profitability" sheetId="6" r:id="rId6"/>
    <sheet name="Monthly Cash Flow" sheetId="7" r:id="rId7"/>
    <sheet name="Break-Even Analysis" sheetId="8" r:id="rId8"/>
    <sheet name="3-Year Projection" sheetId="9" r:id="rId9"/>
    <sheet name="Franchise Model" sheetId="10" r:id="rId10"/>
    <sheet name="Fee Collection Tracker" sheetId="11" r:id="rId11"/>
    <sheet name="Enrollment Funnel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2" l="1"/>
  <c r="B36" i="12"/>
  <c r="B35" i="12"/>
  <c r="B31" i="12"/>
  <c r="B30" i="12"/>
  <c r="B29" i="12"/>
  <c r="E23" i="12"/>
  <c r="D23" i="12"/>
  <c r="B23" i="12"/>
  <c r="C22" i="12"/>
  <c r="F22" i="12" s="1"/>
  <c r="F21" i="12"/>
  <c r="C21" i="12"/>
  <c r="G21" i="12" s="1"/>
  <c r="G20" i="12"/>
  <c r="F20" i="12"/>
  <c r="C20" i="12"/>
  <c r="G19" i="12"/>
  <c r="F19" i="12"/>
  <c r="C19" i="12"/>
  <c r="G18" i="12"/>
  <c r="F18" i="12"/>
  <c r="C18" i="12"/>
  <c r="C17" i="12"/>
  <c r="G17" i="12" s="1"/>
  <c r="G13" i="12"/>
  <c r="E13" i="12"/>
  <c r="D13" i="12"/>
  <c r="C13" i="12"/>
  <c r="E12" i="12"/>
  <c r="D12" i="12"/>
  <c r="C12" i="12"/>
  <c r="G12" i="12" s="1"/>
  <c r="H41" i="1" s="1"/>
  <c r="C11" i="12"/>
  <c r="B10" i="12"/>
  <c r="C10" i="12" s="1"/>
  <c r="G9" i="12"/>
  <c r="E9" i="12"/>
  <c r="D9" i="12"/>
  <c r="C9" i="12"/>
  <c r="E8" i="12"/>
  <c r="D8" i="12"/>
  <c r="C8" i="12"/>
  <c r="G8" i="12" s="1"/>
  <c r="H37" i="1" s="1"/>
  <c r="G7" i="12"/>
  <c r="E7" i="12"/>
  <c r="D7" i="12"/>
  <c r="C7" i="12"/>
  <c r="G6" i="12"/>
  <c r="C6" i="12"/>
  <c r="H11" i="11"/>
  <c r="E11" i="11"/>
  <c r="C10" i="11"/>
  <c r="D10" i="11" s="1"/>
  <c r="B10" i="11"/>
  <c r="C9" i="11"/>
  <c r="D9" i="11" s="1"/>
  <c r="B9" i="11"/>
  <c r="C8" i="11"/>
  <c r="B8" i="11"/>
  <c r="D8" i="11" s="1"/>
  <c r="C7" i="11"/>
  <c r="B7" i="11"/>
  <c r="D7" i="11" s="1"/>
  <c r="F6" i="11"/>
  <c r="D6" i="11"/>
  <c r="G6" i="11" s="1"/>
  <c r="C6" i="11"/>
  <c r="B6" i="11"/>
  <c r="D5" i="11"/>
  <c r="F5" i="11" s="1"/>
  <c r="C5" i="11"/>
  <c r="B5" i="11"/>
  <c r="B27" i="10"/>
  <c r="B26" i="10"/>
  <c r="B25" i="10"/>
  <c r="B24" i="10"/>
  <c r="B23" i="10"/>
  <c r="B22" i="10"/>
  <c r="C17" i="10"/>
  <c r="B17" i="10"/>
  <c r="C16" i="10"/>
  <c r="C18" i="10" s="1"/>
  <c r="B16" i="10"/>
  <c r="B18" i="9"/>
  <c r="B17" i="9"/>
  <c r="B16" i="9"/>
  <c r="B15" i="9"/>
  <c r="C15" i="9" s="1"/>
  <c r="D15" i="9" s="1"/>
  <c r="B14" i="9"/>
  <c r="B25" i="8"/>
  <c r="B20" i="8"/>
  <c r="B19" i="8"/>
  <c r="B21" i="8" s="1"/>
  <c r="B22" i="8" s="1"/>
  <c r="B18" i="8"/>
  <c r="B11" i="8"/>
  <c r="B10" i="8"/>
  <c r="B9" i="8"/>
  <c r="B6" i="8"/>
  <c r="O22" i="7"/>
  <c r="M22" i="7"/>
  <c r="L22" i="7"/>
  <c r="K22" i="7"/>
  <c r="J22" i="7"/>
  <c r="I22" i="7"/>
  <c r="H22" i="7"/>
  <c r="G22" i="7"/>
  <c r="F22" i="7"/>
  <c r="E22" i="7"/>
  <c r="D22" i="7"/>
  <c r="C22" i="7"/>
  <c r="B22" i="7"/>
  <c r="N22" i="7" s="1"/>
  <c r="O21" i="7"/>
  <c r="M21" i="7"/>
  <c r="L21" i="7"/>
  <c r="K21" i="7"/>
  <c r="J21" i="7"/>
  <c r="I21" i="7"/>
  <c r="H21" i="7"/>
  <c r="G21" i="7"/>
  <c r="F21" i="7"/>
  <c r="E21" i="7"/>
  <c r="D21" i="7"/>
  <c r="C21" i="7"/>
  <c r="B21" i="7"/>
  <c r="N21" i="7" s="1"/>
  <c r="O19" i="7"/>
  <c r="N19" i="7"/>
  <c r="B19" i="7"/>
  <c r="L18" i="7"/>
  <c r="I18" i="7"/>
  <c r="D18" i="7"/>
  <c r="M16" i="7"/>
  <c r="J16" i="7"/>
  <c r="I16" i="7"/>
  <c r="H16" i="7"/>
  <c r="F16" i="7"/>
  <c r="E16" i="7"/>
  <c r="B16" i="7"/>
  <c r="F13" i="7"/>
  <c r="M12" i="7"/>
  <c r="M20" i="7" s="1"/>
  <c r="L12" i="7"/>
  <c r="L20" i="7" s="1"/>
  <c r="I12" i="7"/>
  <c r="I13" i="7" s="1"/>
  <c r="F12" i="7"/>
  <c r="F20" i="7" s="1"/>
  <c r="E12" i="7"/>
  <c r="E20" i="7" s="1"/>
  <c r="D12" i="7"/>
  <c r="D20" i="7" s="1"/>
  <c r="M11" i="7"/>
  <c r="M13" i="7" s="1"/>
  <c r="L11" i="7"/>
  <c r="K11" i="7"/>
  <c r="K12" i="7" s="1"/>
  <c r="J11" i="7"/>
  <c r="I11" i="7"/>
  <c r="H11" i="7"/>
  <c r="H12" i="7" s="1"/>
  <c r="H20" i="7" s="1"/>
  <c r="G11" i="7"/>
  <c r="G12" i="7" s="1"/>
  <c r="G20" i="7" s="1"/>
  <c r="F11" i="7"/>
  <c r="E11" i="7"/>
  <c r="E13" i="7" s="1"/>
  <c r="D11" i="7"/>
  <c r="C11" i="7"/>
  <c r="C12" i="7" s="1"/>
  <c r="B11" i="7"/>
  <c r="B12" i="7" s="1"/>
  <c r="O10" i="7"/>
  <c r="N10" i="7"/>
  <c r="O9" i="7"/>
  <c r="N9" i="7"/>
  <c r="N8" i="7"/>
  <c r="O7" i="7"/>
  <c r="N7" i="7"/>
  <c r="N6" i="7"/>
  <c r="N5" i="7"/>
  <c r="D10" i="6"/>
  <c r="C10" i="6"/>
  <c r="B10" i="6"/>
  <c r="F10" i="6" s="1"/>
  <c r="G10" i="6" s="1"/>
  <c r="H10" i="6" s="1"/>
  <c r="F9" i="6"/>
  <c r="D9" i="6"/>
  <c r="C9" i="6"/>
  <c r="B9" i="6"/>
  <c r="C8" i="6"/>
  <c r="B8" i="6"/>
  <c r="F8" i="6" s="1"/>
  <c r="F7" i="6"/>
  <c r="D7" i="6"/>
  <c r="C7" i="6"/>
  <c r="B7" i="6"/>
  <c r="C6" i="6"/>
  <c r="B6" i="6"/>
  <c r="F6" i="6" s="1"/>
  <c r="F5" i="6"/>
  <c r="F11" i="6" s="1"/>
  <c r="C5" i="6"/>
  <c r="B5" i="6"/>
  <c r="B11" i="6" s="1"/>
  <c r="C13" i="5"/>
  <c r="D12" i="5"/>
  <c r="E12" i="5" s="1"/>
  <c r="E11" i="5"/>
  <c r="D11" i="5"/>
  <c r="D10" i="5"/>
  <c r="E10" i="5" s="1"/>
  <c r="D9" i="5"/>
  <c r="E9" i="5" s="1"/>
  <c r="D8" i="5"/>
  <c r="E8" i="5" s="1"/>
  <c r="E7" i="5"/>
  <c r="D7" i="5"/>
  <c r="D6" i="5"/>
  <c r="E6" i="5" s="1"/>
  <c r="D5" i="5"/>
  <c r="E5" i="5" s="1"/>
  <c r="B16" i="4"/>
  <c r="C8" i="3"/>
  <c r="B18" i="7" s="1"/>
  <c r="C7" i="3"/>
  <c r="O17" i="7" s="1"/>
  <c r="C6" i="3"/>
  <c r="C5" i="3"/>
  <c r="B19" i="9" s="1"/>
  <c r="D11" i="2"/>
  <c r="C23" i="12" s="1"/>
  <c r="G23" i="12" s="1"/>
  <c r="F10" i="2"/>
  <c r="G10" i="2" s="1"/>
  <c r="G17" i="1" s="1"/>
  <c r="E10" i="2"/>
  <c r="E9" i="2"/>
  <c r="E8" i="2"/>
  <c r="O8" i="7" s="1"/>
  <c r="E7" i="2"/>
  <c r="F7" i="2" s="1"/>
  <c r="E6" i="2"/>
  <c r="D6" i="6" s="1"/>
  <c r="E5" i="2"/>
  <c r="F5" i="2" s="1"/>
  <c r="F41" i="1"/>
  <c r="D41" i="1"/>
  <c r="F40" i="1"/>
  <c r="D40" i="1"/>
  <c r="H38" i="1"/>
  <c r="F38" i="1"/>
  <c r="D38" i="1"/>
  <c r="D37" i="1"/>
  <c r="H36" i="1"/>
  <c r="F36" i="1"/>
  <c r="D36" i="1"/>
  <c r="H35" i="1"/>
  <c r="D35" i="1"/>
  <c r="F31" i="1"/>
  <c r="D30" i="1"/>
  <c r="D29" i="1"/>
  <c r="D27" i="1"/>
  <c r="D24" i="1"/>
  <c r="H18" i="1"/>
  <c r="D18" i="1"/>
  <c r="E17" i="1"/>
  <c r="D17" i="1"/>
  <c r="C17" i="1"/>
  <c r="E16" i="1"/>
  <c r="D16" i="1"/>
  <c r="C16" i="1"/>
  <c r="D15" i="1"/>
  <c r="C15" i="1"/>
  <c r="E14" i="1"/>
  <c r="D14" i="1"/>
  <c r="C14" i="1"/>
  <c r="D13" i="1"/>
  <c r="C13" i="1"/>
  <c r="D12" i="1"/>
  <c r="C12" i="1"/>
  <c r="E19" i="9" l="1"/>
  <c r="C19" i="9"/>
  <c r="D19" i="9" s="1"/>
  <c r="G9" i="11"/>
  <c r="F9" i="11"/>
  <c r="H6" i="6"/>
  <c r="G6" i="6"/>
  <c r="I25" i="7"/>
  <c r="G10" i="11"/>
  <c r="F10" i="11"/>
  <c r="B20" i="7"/>
  <c r="G7" i="11"/>
  <c r="F7" i="11"/>
  <c r="F11" i="11" s="1"/>
  <c r="F12" i="1"/>
  <c r="F39" i="1"/>
  <c r="G10" i="12"/>
  <c r="H39" i="1" s="1"/>
  <c r="C13" i="7"/>
  <c r="C20" i="7"/>
  <c r="E13" i="5"/>
  <c r="F25" i="7"/>
  <c r="G8" i="11"/>
  <c r="F8" i="11"/>
  <c r="F14" i="1"/>
  <c r="G7" i="2"/>
  <c r="G14" i="1" s="1"/>
  <c r="B24" i="8"/>
  <c r="B23" i="8"/>
  <c r="K13" i="7"/>
  <c r="K20" i="7"/>
  <c r="M23" i="7"/>
  <c r="M25" i="7" s="1"/>
  <c r="J12" i="7"/>
  <c r="J20" i="7" s="1"/>
  <c r="D13" i="7"/>
  <c r="D25" i="7" s="1"/>
  <c r="L13" i="7"/>
  <c r="L25" i="7" s="1"/>
  <c r="H17" i="7"/>
  <c r="H23" i="7" s="1"/>
  <c r="J18" i="7"/>
  <c r="I20" i="7"/>
  <c r="E13" i="1"/>
  <c r="F37" i="1"/>
  <c r="G5" i="2"/>
  <c r="F8" i="2"/>
  <c r="D8" i="6"/>
  <c r="G9" i="6"/>
  <c r="H9" i="6" s="1"/>
  <c r="O6" i="7"/>
  <c r="G16" i="7"/>
  <c r="O16" i="7"/>
  <c r="I17" i="7"/>
  <c r="I23" i="7" s="1"/>
  <c r="C18" i="7"/>
  <c r="N18" i="7" s="1"/>
  <c r="K18" i="7"/>
  <c r="G5" i="11"/>
  <c r="D10" i="12"/>
  <c r="F17" i="12"/>
  <c r="F23" i="12" s="1"/>
  <c r="G22" i="12"/>
  <c r="E10" i="12"/>
  <c r="B11" i="11"/>
  <c r="B32" i="12"/>
  <c r="O5" i="7"/>
  <c r="G17" i="7"/>
  <c r="E11" i="2"/>
  <c r="J17" i="7"/>
  <c r="J23" i="7" s="1"/>
  <c r="D13" i="5"/>
  <c r="G13" i="7"/>
  <c r="C17" i="7"/>
  <c r="E18" i="7"/>
  <c r="D26" i="1"/>
  <c r="F9" i="2"/>
  <c r="F16" i="1" s="1"/>
  <c r="H13" i="7"/>
  <c r="D17" i="7"/>
  <c r="L17" i="7"/>
  <c r="F18" i="7"/>
  <c r="B7" i="8"/>
  <c r="B12" i="8" s="1"/>
  <c r="C14" i="9"/>
  <c r="D11" i="11"/>
  <c r="G11" i="11" s="1"/>
  <c r="B33" i="12"/>
  <c r="D5" i="6"/>
  <c r="F17" i="1"/>
  <c r="B17" i="7"/>
  <c r="B20" i="9"/>
  <c r="E12" i="1"/>
  <c r="D25" i="1"/>
  <c r="F6" i="2"/>
  <c r="F13" i="1" s="1"/>
  <c r="K17" i="7"/>
  <c r="M18" i="7"/>
  <c r="E15" i="1"/>
  <c r="G7" i="6"/>
  <c r="H7" i="6" s="1"/>
  <c r="C16" i="7"/>
  <c r="K16" i="7"/>
  <c r="E17" i="7"/>
  <c r="E23" i="7" s="1"/>
  <c r="E25" i="7" s="1"/>
  <c r="M17" i="7"/>
  <c r="G18" i="7"/>
  <c r="O18" i="7"/>
  <c r="B8" i="8"/>
  <c r="B34" i="12"/>
  <c r="B18" i="10"/>
  <c r="D11" i="12"/>
  <c r="D39" i="1"/>
  <c r="N11" i="7"/>
  <c r="B13" i="7"/>
  <c r="D16" i="7"/>
  <c r="D23" i="7" s="1"/>
  <c r="L16" i="7"/>
  <c r="L23" i="7" s="1"/>
  <c r="F17" i="7"/>
  <c r="F23" i="7" s="1"/>
  <c r="H18" i="7"/>
  <c r="E11" i="12"/>
  <c r="G11" i="12"/>
  <c r="H40" i="1" s="1"/>
  <c r="N13" i="7" l="1"/>
  <c r="H25" i="7"/>
  <c r="G6" i="2"/>
  <c r="G13" i="1" s="1"/>
  <c r="H8" i="6"/>
  <c r="G8" i="6"/>
  <c r="K25" i="7"/>
  <c r="D14" i="9"/>
  <c r="D16" i="9" s="1"/>
  <c r="C16" i="9"/>
  <c r="F15" i="1"/>
  <c r="G8" i="2"/>
  <c r="G15" i="1" s="1"/>
  <c r="G9" i="2"/>
  <c r="G16" i="1" s="1"/>
  <c r="J13" i="7"/>
  <c r="J25" i="7" s="1"/>
  <c r="D11" i="6"/>
  <c r="H11" i="6" s="1"/>
  <c r="G5" i="6"/>
  <c r="G11" i="6" s="1"/>
  <c r="H15" i="1"/>
  <c r="E18" i="1"/>
  <c r="H12" i="1"/>
  <c r="H13" i="1"/>
  <c r="B6" i="4"/>
  <c r="H17" i="1"/>
  <c r="B6" i="1"/>
  <c r="H14" i="1"/>
  <c r="O11" i="7"/>
  <c r="C20" i="9"/>
  <c r="D20" i="9" s="1"/>
  <c r="N20" i="7"/>
  <c r="N17" i="7"/>
  <c r="B23" i="7"/>
  <c r="N12" i="7"/>
  <c r="G12" i="1"/>
  <c r="E14" i="9"/>
  <c r="K23" i="7"/>
  <c r="C23" i="7"/>
  <c r="C25" i="7" s="1"/>
  <c r="N16" i="7"/>
  <c r="G23" i="7"/>
  <c r="G25" i="7" s="1"/>
  <c r="F11" i="2"/>
  <c r="N23" i="7" l="1"/>
  <c r="D18" i="9"/>
  <c r="D17" i="9"/>
  <c r="D21" i="9" s="1"/>
  <c r="H5" i="6"/>
  <c r="G11" i="2"/>
  <c r="C17" i="9"/>
  <c r="E16" i="9"/>
  <c r="E20" i="9"/>
  <c r="H16" i="1"/>
  <c r="O12" i="7"/>
  <c r="B7" i="4"/>
  <c r="F18" i="1"/>
  <c r="C10" i="3"/>
  <c r="B25" i="7"/>
  <c r="D22" i="9" l="1"/>
  <c r="D23" i="9"/>
  <c r="C21" i="9"/>
  <c r="E17" i="9"/>
  <c r="B26" i="7"/>
  <c r="C26" i="7" s="1"/>
  <c r="D26" i="7" s="1"/>
  <c r="E26" i="7" s="1"/>
  <c r="F26" i="7" s="1"/>
  <c r="G26" i="7" s="1"/>
  <c r="H26" i="7" s="1"/>
  <c r="I26" i="7" s="1"/>
  <c r="J26" i="7" s="1"/>
  <c r="K26" i="7" s="1"/>
  <c r="L26" i="7" s="1"/>
  <c r="M26" i="7" s="1"/>
  <c r="N26" i="7" s="1"/>
  <c r="N25" i="7"/>
  <c r="C18" i="9"/>
  <c r="O20" i="7"/>
  <c r="D28" i="1"/>
  <c r="B15" i="8"/>
  <c r="C13" i="3"/>
  <c r="G18" i="1"/>
  <c r="B8" i="4"/>
  <c r="D6" i="1"/>
  <c r="O13" i="7"/>
  <c r="O23" i="7" l="1"/>
  <c r="B21" i="9"/>
  <c r="E21" i="9" s="1"/>
  <c r="B11" i="4"/>
  <c r="F6" i="1"/>
  <c r="D31" i="1"/>
  <c r="C22" i="9"/>
  <c r="C23" i="9"/>
  <c r="E18" i="9"/>
  <c r="B14" i="4"/>
  <c r="B22" i="9" l="1"/>
  <c r="E22" i="9" s="1"/>
  <c r="H6" i="1"/>
  <c r="B15" i="4"/>
  <c r="B23" i="9" l="1"/>
  <c r="J6" i="1"/>
</calcChain>
</file>

<file path=xl/sharedStrings.xml><?xml version="1.0" encoding="utf-8"?>
<sst xmlns="http://schemas.openxmlformats.org/spreadsheetml/2006/main" count="427" uniqueCount="314">
  <si>
    <t>ANSA MONTESSORI TEACHER TRAINING INSTITUTE — FINANCIAL DASHBOARD</t>
  </si>
  <si>
    <t>Powered by Inspireway Education Services Pvt Ltd  |  Annual Financial Report</t>
  </si>
  <si>
    <t>GROSS REVENUE</t>
  </si>
  <si>
    <t>NET REVENUE</t>
  </si>
  <si>
    <t>TOTAL EXPENSES</t>
  </si>
  <si>
    <t>NET PROFIT</t>
  </si>
  <si>
    <t>PROFIT MARGIN</t>
  </si>
  <si>
    <t>COURSE-WISE REVENUE SUMMARY</t>
  </si>
  <si>
    <t>Course</t>
  </si>
  <si>
    <t>Fee (₹)</t>
  </si>
  <si>
    <t>Admissions</t>
  </si>
  <si>
    <t>Gross Rev (₹)</t>
  </si>
  <si>
    <t>Exam Fee (₹)</t>
  </si>
  <si>
    <t>Net Rev (₹)</t>
  </si>
  <si>
    <t>% of Total</t>
  </si>
  <si>
    <t>Spoken English</t>
  </si>
  <si>
    <t>Phonics &amp; Early Literacy</t>
  </si>
  <si>
    <t>Child Psychology</t>
  </si>
  <si>
    <t>Montessori &amp; Primary Diploma</t>
  </si>
  <si>
    <t>Special Needs Education</t>
  </si>
  <si>
    <t>Digital Marketing</t>
  </si>
  <si>
    <t>TOTAL</t>
  </si>
  <si>
    <t>EXPENSE SUMMARY</t>
  </si>
  <si>
    <t>Expense Item</t>
  </si>
  <si>
    <t>Annual Amount (₹)</t>
  </si>
  <si>
    <t>% of Total Expenses</t>
  </si>
  <si>
    <t>Teacher &amp; Staff Salaries</t>
  </si>
  <si>
    <t>Advertisement</t>
  </si>
  <si>
    <t>Technology Subscription</t>
  </si>
  <si>
    <t>Book Printing</t>
  </si>
  <si>
    <t>Exam Fees (20% Gross)</t>
  </si>
  <si>
    <t>Rent</t>
  </si>
  <si>
    <t>Transport &amp; Misc</t>
  </si>
  <si>
    <t xml:space="preserve">  ENROLLMENT FUNNEL SNAPSHOT</t>
  </si>
  <si>
    <t>Stage</t>
  </si>
  <si>
    <t>Count</t>
  </si>
  <si>
    <t>Conv. Rate</t>
  </si>
  <si>
    <t>Status</t>
  </si>
  <si>
    <t>Leads Received</t>
  </si>
  <si>
    <t>—</t>
  </si>
  <si>
    <t>Enquiry Calls Made</t>
  </si>
  <si>
    <t>Counselling Completed</t>
  </si>
  <si>
    <t>Applications Submitted</t>
  </si>
  <si>
    <t>Confirmed Admissions</t>
  </si>
  <si>
    <t>Course Completions</t>
  </si>
  <si>
    <t>Placed / Employed</t>
  </si>
  <si>
    <t>ANSA MONTESSORI — ANNUAL REVENUE REPORT</t>
  </si>
  <si>
    <t>COURSE-WISE REVENUE PROJECTION (Annual)</t>
  </si>
  <si>
    <t>Fee per Student (₹)</t>
  </si>
  <si>
    <t>Duration</t>
  </si>
  <si>
    <t>Admissions (Yearly)</t>
  </si>
  <si>
    <t>Gross Revenue (₹)</t>
  </si>
  <si>
    <t>Exam Fees 20% (₹)</t>
  </si>
  <si>
    <t>Net Revenue (₹)</t>
  </si>
  <si>
    <t>3 Months</t>
  </si>
  <si>
    <t>Phonics</t>
  </si>
  <si>
    <t>6 Months</t>
  </si>
  <si>
    <t>ANSA MONTESSORI — ANNUAL EXPENSE REPORT</t>
  </si>
  <si>
    <t>EXPENSE BREAKDOWN</t>
  </si>
  <si>
    <t>Monthly (₹)</t>
  </si>
  <si>
    <t>Annual (₹)</t>
  </si>
  <si>
    <t>Notes</t>
  </si>
  <si>
    <t>Teachers Salaries (10 × ₹10,000)</t>
  </si>
  <si>
    <t>10 teachers @ ₹10,000/month</t>
  </si>
  <si>
    <t>Tele Callers (2 × ₹10,000)</t>
  </si>
  <si>
    <t>2 staff @ ₹10,000/month</t>
  </si>
  <si>
    <t>Monthly marketing spend</t>
  </si>
  <si>
    <t>LMS, tools &amp; platforms</t>
  </si>
  <si>
    <t>-</t>
  </si>
  <si>
    <t>One-time yearly print run</t>
  </si>
  <si>
    <t>Exam Fees (20% of Gross Revenue)</t>
  </si>
  <si>
    <t>Linked from Revenue sheet</t>
  </si>
  <si>
    <t>Annual office/campus rent</t>
  </si>
  <si>
    <t>Transport &amp; Miscellaneous</t>
  </si>
  <si>
    <t>Yearly estimate</t>
  </si>
  <si>
    <t>TOTAL ANNUAL EXPENSES</t>
  </si>
  <si>
    <t>ANSA MONTESSORI — PROFIT &amp; LOSS SUMMARY</t>
  </si>
  <si>
    <t>ANNUAL P&amp;L AT A GLANCE</t>
  </si>
  <si>
    <t>Description</t>
  </si>
  <si>
    <t>Amount (₹)</t>
  </si>
  <si>
    <t>Remarks</t>
  </si>
  <si>
    <t xml:space="preserve">  REVENUE</t>
  </si>
  <si>
    <t>Gross Revenue</t>
  </si>
  <si>
    <t>Sum of all course fees</t>
  </si>
  <si>
    <t>Less: Exam Fees (20%)</t>
  </si>
  <si>
    <t>20% deducted as exam fees</t>
  </si>
  <si>
    <t>Net Revenue</t>
  </si>
  <si>
    <t>Net Revenue after exam fee deduction</t>
  </si>
  <si>
    <t xml:space="preserve">  EXPENSES</t>
  </si>
  <si>
    <t>Total Annual Expenses</t>
  </si>
  <si>
    <t>Salaries + Ops + Rent + Books etc.</t>
  </si>
  <si>
    <t xml:space="preserve">  NET RESULT</t>
  </si>
  <si>
    <t>NET PROFIT / (LOSS)</t>
  </si>
  <si>
    <t>Net Revenue minus Total Expenses</t>
  </si>
  <si>
    <t>Profit Margin (%)</t>
  </si>
  <si>
    <t>Net Profit as % of Net Revenue</t>
  </si>
  <si>
    <t>Return on Revenue (%)</t>
  </si>
  <si>
    <t>Net Profit as % of Gross Revenue</t>
  </si>
  <si>
    <t>ANSA MONTESSORI — STAFF &amp; SALARY PLAN</t>
  </si>
  <si>
    <t>RECOMMENDED TEACHER &amp; STAFF DEPLOYMENT</t>
  </si>
  <si>
    <t>Role / Course Assigned</t>
  </si>
  <si>
    <t>Monthly Salary (₹)</t>
  </si>
  <si>
    <t>Total Monthly (₹)</t>
  </si>
  <si>
    <t>Annual Cost (₹)</t>
  </si>
  <si>
    <t>Spoken English Teacher</t>
  </si>
  <si>
    <t>Phonics Teacher</t>
  </si>
  <si>
    <t>Child Psychology Instructor</t>
  </si>
  <si>
    <t>Montessori &amp; Primary Diploma Trainer</t>
  </si>
  <si>
    <t>Special Needs Education Specialist</t>
  </si>
  <si>
    <t>Digital Marketing Trainer</t>
  </si>
  <si>
    <t>Tele Caller 1</t>
  </si>
  <si>
    <t>Tele Caller 2</t>
  </si>
  <si>
    <t>ANSA MONTESSORI — COURSE-WISE PROFITABILITY ANALYSIS</t>
  </si>
  <si>
    <t>REVENUE, COST &amp; MARGIN PER COURSE</t>
  </si>
  <si>
    <t>Est. Cost/Student (₹)</t>
  </si>
  <si>
    <t>Total Cost (₹)</t>
  </si>
  <si>
    <t>Contribution (₹)</t>
  </si>
  <si>
    <t>Margin %</t>
  </si>
  <si>
    <t>📌 Est. Cost/Student (col E) = allocated teacher &amp; ops cost. Adjust blue cells as needed.</t>
  </si>
  <si>
    <t>ANSA MONTESSORI — MONTHLY CASH FLOW  |  April 2026 – March 2027</t>
  </si>
  <si>
    <t>Revenue recognised by course duration &amp; batch schedule  •  Expenses spread monthly  •  Book Printing charged in April</t>
  </si>
  <si>
    <t>COURSE-WISE MONTHLY REVENUE RECOGNITION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</si>
  <si>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</si>
  <si>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</si>
  <si>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</si>
  <si>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</si>
  <si>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</si>
  <si>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</si>
  <si>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</si>
  <si>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</si>
  <si>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</si>
  <si>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</si>
  <si>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</si>
  <si>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</si>
  <si>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ANNUAL TOTAL</t>
  </si>
  <si>
    <t>Revenue Sheet</t>
  </si>
  <si>
    <t>MONTHLY EXPENSES</t>
  </si>
  <si>
    <t>Staff Salaries</t>
  </si>
  <si>
    <t>Exam Fees Payout (20%)</t>
  </si>
  <si>
    <t>Misc / Transport</t>
  </si>
  <si>
    <t>TOTAL OUTFLOWS</t>
  </si>
  <si>
    <t>NET MONTHLY CASH FLOW</t>
  </si>
  <si>
    <t>CUMULATIVE CASH FLOW</t>
  </si>
  <si>
    <t>BATCH SCHEDULE REFERENCE</t>
  </si>
  <si>
    <t>Batches/Year</t>
  </si>
  <si>
    <t>Batch Start Months</t>
  </si>
  <si>
    <t>Apr-26, Jul-26, Oct-26, Jan-27  (25 students per batch)</t>
  </si>
  <si>
    <t>Apr-26, Jul-26, Oct-26, Jan-27  (12-13 per batch)</t>
  </si>
  <si>
    <t>Apr-26 &amp; Oct-26  (50 students per batch)</t>
  </si>
  <si>
    <t>Apr-26 &amp; Oct-26  (25 students per batch)</t>
  </si>
  <si>
    <t>Apr-26, Jul-26, Oct-26, Jan-27  (5 students per batch)</t>
  </si>
  <si>
    <t>ANSA MONTESSORI — BREAK-EVEN ANALYSIS</t>
  </si>
  <si>
    <t>FIXED COSTS, VARIABLE COSTS &amp; BREAK-EVEN POINT</t>
  </si>
  <si>
    <t>Basis</t>
  </si>
  <si>
    <t xml:space="preserve">  FIXED COSTS (Annual)</t>
  </si>
  <si>
    <t>Fixed monthly regardless of admissions</t>
  </si>
  <si>
    <t>Fixed monthly budget</t>
  </si>
  <si>
    <t>Fixed SaaS/LMS cost</t>
  </si>
  <si>
    <t>One-time annual</t>
  </si>
  <si>
    <t>Fixed annual rent</t>
  </si>
  <si>
    <t>Fixed estimate</t>
  </si>
  <si>
    <t>Total Fixed Costs</t>
  </si>
  <si>
    <t xml:space="preserve">  VARIABLE COSTS</t>
  </si>
  <si>
    <t>Variable — scales with revenue</t>
  </si>
  <si>
    <t xml:space="preserve">  BREAK-EVEN CALCULATION</t>
  </si>
  <si>
    <t>Total Admissions (Current)</t>
  </si>
  <si>
    <t>Sum of all enrolled students</t>
  </si>
  <si>
    <t>Avg Revenue per Student (₹)</t>
  </si>
  <si>
    <t>Gross Rev ÷ Total Admissions</t>
  </si>
  <si>
    <t>Avg Variable Cost per Student (₹)</t>
  </si>
  <si>
    <t>Exam Fee ÷ Total Admissions</t>
  </si>
  <si>
    <t>Contribution per Student (₹)</t>
  </si>
  <si>
    <t>Avg Rev minus Avg Variable Cost</t>
  </si>
  <si>
    <t>Break-Even Admissions (nos.)</t>
  </si>
  <si>
    <t>Fixed Costs ÷ Contribution per Student</t>
  </si>
  <si>
    <t>Current Admissions vs Break-Even</t>
  </si>
  <si>
    <t>Surplus admissions above break-even</t>
  </si>
  <si>
    <t>Break-Even Revenue (₹)</t>
  </si>
  <si>
    <t>Break-Even Admissions × Avg Rev/Student</t>
  </si>
  <si>
    <t>Safety Margin (%)</t>
  </si>
  <si>
    <t>(Actual Rev - BE Rev) ÷ Actual Rev</t>
  </si>
  <si>
    <t>ANSA MONTESSORI — 3-YEAR FINANCIAL PROJECTION</t>
  </si>
  <si>
    <t>GROWTH ASSUMPTIONS &amp; PROJECTED P&amp;L (FY1 = Current Year Actuals)</t>
  </si>
  <si>
    <t xml:space="preserve">  GROWTH ASSUMPTIONS (Editable — Blue Cells)</t>
  </si>
  <si>
    <t>Assumption</t>
  </si>
  <si>
    <t>FY1 (Base)</t>
  </si>
  <si>
    <t>FY2 Growth %</t>
  </si>
  <si>
    <t>FY3 Growth %</t>
  </si>
  <si>
    <t>Admission Growth Rate</t>
  </si>
  <si>
    <t>20% YoY growth in student admissions</t>
  </si>
  <si>
    <t>Fee Revision Rate</t>
  </si>
  <si>
    <t>5% annual fee increase</t>
  </si>
  <si>
    <t>Salary Increment Rate</t>
  </si>
  <si>
    <t>10% annual staff salary increase</t>
  </si>
  <si>
    <t>Fixed Cost Growth Rate</t>
  </si>
  <si>
    <t>5% increase in other fixed costs</t>
  </si>
  <si>
    <t xml:space="preserve">  PROJECTED P&amp;L</t>
  </si>
  <si>
    <t>Metric</t>
  </si>
  <si>
    <t>FY1 (Current)</t>
  </si>
  <si>
    <t>FY2 (Projected)</t>
  </si>
  <si>
    <t>FY3 (Projected)</t>
  </si>
  <si>
    <t>3-Year Total</t>
  </si>
  <si>
    <t>Total Admissions</t>
  </si>
  <si>
    <t>Avg Fee per Student (₹)</t>
  </si>
  <si>
    <t>Staff Salaries (₹)</t>
  </si>
  <si>
    <t>Other Fixed Costs (₹)</t>
  </si>
  <si>
    <t>Total Expenses (₹)</t>
  </si>
  <si>
    <t>NET PROFIT (₹)</t>
  </si>
  <si>
    <t>ANSA MONTESSORI — FRANCHISE REVENUE MODEL</t>
  </si>
  <si>
    <t>PER-PARTNER ECONOMICS &amp; TOTAL FRANCHISE NETWORK REVENUE</t>
  </si>
  <si>
    <t xml:space="preserve">  FRANCHISE ASSUMPTIONS (Editable)</t>
  </si>
  <si>
    <t>Parameter</t>
  </si>
  <si>
    <t>Value</t>
  </si>
  <si>
    <t>Unit</t>
  </si>
  <si>
    <t>Franchise Fee (One-Time)</t>
  </si>
  <si>
    <t>₹ per partner</t>
  </si>
  <si>
    <t>Initial onboarding fee</t>
  </si>
  <si>
    <t>Revenue Share to ANSA (%)</t>
  </si>
  <si>
    <t>% of partner gross rev</t>
  </si>
  <si>
    <t>ANSA earns 15% of partner revenue</t>
  </si>
  <si>
    <t>Avg Admissions per Partner / yr</t>
  </si>
  <si>
    <t>Students</t>
  </si>
  <si>
    <t>Conservative estimate</t>
  </si>
  <si>
    <t>Avg Course Fee per Student</t>
  </si>
  <si>
    <t>₹</t>
  </si>
  <si>
    <t>Blended average across courses</t>
  </si>
  <si>
    <t>No. of Active Partners</t>
  </si>
  <si>
    <t>Partners</t>
  </si>
  <si>
    <t>Current network size</t>
  </si>
  <si>
    <t>New Partners Added (Annual)</t>
  </si>
  <si>
    <t>Growth target</t>
  </si>
  <si>
    <t xml:space="preserve">  FRANCHISE NETWORK REVENUE TO ANSA</t>
  </si>
  <si>
    <t>Revenue Stream</t>
  </si>
  <si>
    <t>Calculation</t>
  </si>
  <si>
    <t>One-Time Franchise Fees (New)</t>
  </si>
  <si>
    <t>New partners × franchise fee</t>
  </si>
  <si>
    <t>Revenue Share from Network</t>
  </si>
  <si>
    <t>Partners × admissions × avg fee × share %</t>
  </si>
  <si>
    <t>Total Franchise Income</t>
  </si>
  <si>
    <t>Combined franchise revenue to ANSA</t>
  </si>
  <si>
    <t xml:space="preserve">  PARTNER P&amp;L (Per Franchise Center)</t>
  </si>
  <si>
    <t>Item</t>
  </si>
  <si>
    <t>Gross Revenue (Partner)</t>
  </si>
  <si>
    <t>Admissions × avg fee</t>
  </si>
  <si>
    <t>Revenue Shared to ANSA</t>
  </si>
  <si>
    <t>15% royalty to ANSA</t>
  </si>
  <si>
    <t>Net Revenue (Partner Keeps)</t>
  </si>
  <si>
    <t>After paying ANSA share</t>
  </si>
  <si>
    <t>Est. Operating Costs</t>
  </si>
  <si>
    <t>~50% cost ratio for ops/staff/rent</t>
  </si>
  <si>
    <t>Partner Net Profit</t>
  </si>
  <si>
    <t>Net after ops and ANSA share</t>
  </si>
  <si>
    <t>Partner ROI (on ₹2L invest)</t>
  </si>
  <si>
    <t>Return on ₹2 lakh investment</t>
  </si>
  <si>
    <t>ANSA MONTESSORI — FEE COLLECTION &amp; EMI TRACKER</t>
  </si>
  <si>
    <t>EXPECTED vs COLLECTED FEES PER COURSE (Enter actual collections in yellow cells)</t>
  </si>
  <si>
    <t>Expected Total (₹)</t>
  </si>
  <si>
    <t>Collected (₹)</t>
  </si>
  <si>
    <t>Pending (₹)</t>
  </si>
  <si>
    <t>Collection %</t>
  </si>
  <si>
    <t>EMI Students</t>
  </si>
  <si>
    <t>📌 Yellow cells = Enter actual collected amounts and EMI student counts.</t>
  </si>
  <si>
    <t>ANSA MONTESSORI — STUDENT ENROLLMENT FUNNEL</t>
  </si>
  <si>
    <t>Track leads → enquiries → applications → enrolments → completions per course</t>
  </si>
  <si>
    <t xml:space="preserve">  FUNNEL STAGE OVERVIEW  (Enter actual numbers in yellow cells)</t>
  </si>
  <si>
    <t>Funnel Stage</t>
  </si>
  <si>
    <t>% of Leads</t>
  </si>
  <si>
    <t>Drop-Off Count</t>
  </si>
  <si>
    <t>Drop-Off %</t>
  </si>
  <si>
    <t>Benchmark</t>
  </si>
  <si>
    <t>🔵  Total Leads / Inquiries Received</t>
  </si>
  <si>
    <t>Industry target: 1,000+/yr</t>
  </si>
  <si>
    <t>🟡  Enquiry Calls Made (Tele-Caller)</t>
  </si>
  <si>
    <t>Target: 70%+ of leads called</t>
  </si>
  <si>
    <t>🟠  Counselling Sessions Completed</t>
  </si>
  <si>
    <t>Target: 57%+ of calls</t>
  </si>
  <si>
    <t>🟢  Applications Submitted</t>
  </si>
  <si>
    <t>Target: 50%+ of counselled</t>
  </si>
  <si>
    <t>✅  Confirmed Admissions (Paid)</t>
  </si>
  <si>
    <t>Target: 75%+ of applications</t>
  </si>
  <si>
    <t>📚  Active Students (Currently Learning)</t>
  </si>
  <si>
    <t>Should match Admissions - Dropouts</t>
  </si>
  <si>
    <t>🎓  Course Completions (Certified)</t>
  </si>
  <si>
    <t>Target: 90%+ completion rate</t>
  </si>
  <si>
    <t>💼  Placed / Employed Post-Course</t>
  </si>
  <si>
    <t>Target: 98% placement rate</t>
  </si>
  <si>
    <t xml:space="preserve">  COURSE-WISE ENROLLMENT BREAKDOWN</t>
  </si>
  <si>
    <t>Target Admissions</t>
  </si>
  <si>
    <t>Actual Admissions</t>
  </si>
  <si>
    <t>Active Students</t>
  </si>
  <si>
    <t>Completions</t>
  </si>
  <si>
    <t>Dropout Count</t>
  </si>
  <si>
    <t>Completion Rate %</t>
  </si>
  <si>
    <t xml:space="preserve">  KEY CONVERSION METRICS</t>
  </si>
  <si>
    <t>Formula Basis</t>
  </si>
  <si>
    <t>Lead-to-Enquiry Conversion</t>
  </si>
  <si>
    <t>Enquiry Calls ÷ Total Leads</t>
  </si>
  <si>
    <t>Enquiry-to-Counselling Rate</t>
  </si>
  <si>
    <t>Counselling Sessions ÷ Calls</t>
  </si>
  <si>
    <t>Counselling-to-Application Rate</t>
  </si>
  <si>
    <t>Applications ÷ Counselling</t>
  </si>
  <si>
    <t>Application-to-Admission Rate</t>
  </si>
  <si>
    <t>Admissions ÷ Applications</t>
  </si>
  <si>
    <t>Overall Lead-to-Admission Rate</t>
  </si>
  <si>
    <t>Admissions ÷ Total Leads</t>
  </si>
  <si>
    <t>Overall Completion Rate</t>
  </si>
  <si>
    <t>Completions ÷ Admissions</t>
  </si>
  <si>
    <t>Post-Course Placement Rate</t>
  </si>
  <si>
    <t>Placed ÷ Completions</t>
  </si>
  <si>
    <t>Cost per Enrolled Student (₹)</t>
  </si>
  <si>
    <t>Ad Spend ÷ Total Admissions</t>
  </si>
  <si>
    <t>Revenue per Lead (₹)</t>
  </si>
  <si>
    <t>Gross Revenue ÷ Total Leads</t>
  </si>
  <si>
    <t>📌 Yellow cells = Enter actual data. Blue cells = Editable targets/inputs. Green cells = Linked from Revenue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</si>
</sst>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;&quot;(₹&quot;#,##0\);\-"/>
    <numFmt numFmtId="165" formatCode="0.0%;\(0.0%\);\-"/>
  </numFmts>
  <fonts count="3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8"/>
      <color rgb="FFFFFFFF"/>
      <name val="Arial"/>
    </font>
    <font>
      <b/>
      <sz val="8"/>
      <color rgb="FF263238"/>
      <name val="Arial"/>
    </font>
    <font>
      <b/>
      <sz val="14"/>
      <color rgb="FF263238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1B5E20"/>
      <name val="Arial"/>
    </font>
    <font>
      <b/>
      <sz val="13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1B5E20"/>
      <name val="Arial"/>
    </font>
    <font>
      <i/>
      <sz val="9"/>
      <color rgb="FF546E7A"/>
      <name val="Arial"/>
    </font>
    <font>
      <sz val="10"/>
      <color rgb="FF008000"/>
      <name val="Arial"/>
    </font>
    <font>
      <sz val="10"/>
      <color rgb="FFB71C1C"/>
      <name val="Arial"/>
    </font>
    <font>
      <b/>
      <sz val="9"/>
      <color rgb="FF263238"/>
      <name val="Arial"/>
    </font>
    <font>
      <b/>
      <sz val="10"/>
      <color rgb="FF263238"/>
      <name val="Arial"/>
    </font>
    <font>
      <i/>
      <sz val="9"/>
      <color rgb="FF263238"/>
      <name val="Arial"/>
    </font>
    <font>
      <sz val="9"/>
      <color rgb="FF0000FF"/>
      <name val="Arial"/>
    </font>
    <font>
      <sz val="9"/>
      <color rgb="FF1B5E20"/>
      <name val="Arial"/>
    </font>
    <font>
      <sz val="9"/>
      <color rgb="FF263238"/>
      <name val="Arial"/>
    </font>
    <font>
      <sz val="9"/>
      <color rgb="FF546E7A"/>
      <name val="Arial"/>
    </font>
    <font>
      <i/>
      <sz val="9"/>
      <color rgb="FFFFFFFF"/>
      <name val="Arial"/>
    </font>
    <font>
      <b/>
      <sz val="9"/>
      <color rgb="FF000000"/>
      <name val="Arial"/>
    </font>
    <font>
      <i/>
      <sz val="9"/>
      <color rgb="FF000000"/>
      <name val="Arial"/>
    </font>
    <font>
      <b/>
      <sz val="9"/>
      <color rgb="FF2E7D32"/>
      <name val="Arial"/>
    </font>
    <font>
      <sz val="9"/>
      <name val="Arial"/>
    </font>
    <font>
      <b/>
      <sz val="9"/>
      <name val="Arial"/>
    </font>
    <font>
      <sz val="9"/>
      <color rgb="FFB71C1C"/>
      <name val="Arial"/>
    </font>
    <font>
      <b/>
      <sz val="9"/>
      <color rgb="FFB71C1C"/>
      <name val="Arial"/>
    </font>
    <font>
      <i/>
      <sz val="9"/>
      <color rgb="FFB71C1C"/>
      <name val="Arial"/>
    </font>
  </fonts>
  <fills count="1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8B0000"/>
      </patternFill>
    </fill>
    <fill>
      <patternFill patternType="solid">
        <fgColor rgb="FF1565C0"/>
      </patternFill>
    </fill>
    <fill>
      <patternFill patternType="solid">
        <fgColor rgb="FFF9A825"/>
      </patternFill>
    </fill>
    <fill>
      <patternFill patternType="solid">
        <fgColor rgb="FF546E7A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FFE0B2"/>
      </patternFill>
    </fill>
    <fill>
      <patternFill patternType="solid">
        <fgColor rgb="FFE0F2F1"/>
      </patternFill>
    </fill>
    <fill>
      <patternFill patternType="solid">
        <fgColor rgb="FFEDE7F6"/>
      </patternFill>
    </fill>
  </fills>
  <borders count="4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64" fontId="8" fillId="8" borderId="1" xfId="0" applyNumberFormat="1" applyFont="1" applyFill="1" applyBorder="1" applyAlignment="1">
      <alignment horizontal="right" vertical="center"/>
    </xf>
    <xf numFmtId="3" fontId="8" fillId="8" borderId="1" xfId="0" applyNumberFormat="1" applyFont="1" applyFill="1" applyBorder="1" applyAlignment="1">
      <alignment horizontal="right" vertical="center"/>
    </xf>
    <xf numFmtId="165" fontId="8" fillId="8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/>
    </xf>
    <xf numFmtId="164" fontId="8" fillId="9" borderId="1" xfId="0" applyNumberFormat="1" applyFont="1" applyFill="1" applyBorder="1" applyAlignment="1">
      <alignment horizontal="right" vertical="center"/>
    </xf>
    <xf numFmtId="3" fontId="8" fillId="9" borderId="1" xfId="0" applyNumberFormat="1" applyFont="1" applyFill="1" applyBorder="1" applyAlignment="1">
      <alignment horizontal="right" vertical="center"/>
    </xf>
    <xf numFmtId="165" fontId="8" fillId="9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/>
    </xf>
    <xf numFmtId="3" fontId="9" fillId="10" borderId="1" xfId="0" applyNumberFormat="1" applyFont="1" applyFill="1" applyBorder="1" applyAlignment="1">
      <alignment horizontal="right" vertical="center"/>
    </xf>
    <xf numFmtId="164" fontId="9" fillId="10" borderId="1" xfId="0" applyNumberFormat="1" applyFont="1" applyFill="1" applyBorder="1" applyAlignment="1">
      <alignment horizontal="right" vertical="center"/>
    </xf>
    <xf numFmtId="165" fontId="9" fillId="10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center"/>
    </xf>
    <xf numFmtId="164" fontId="12" fillId="8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left" vertical="center"/>
    </xf>
    <xf numFmtId="164" fontId="12" fillId="9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left" vertical="center"/>
    </xf>
    <xf numFmtId="164" fontId="13" fillId="10" borderId="1" xfId="0" applyNumberFormat="1" applyFont="1" applyFill="1" applyBorder="1" applyAlignment="1">
      <alignment horizontal="right" vertical="center"/>
    </xf>
    <xf numFmtId="0" fontId="14" fillId="8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164" fontId="15" fillId="9" borderId="1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164" fontId="18" fillId="6" borderId="1" xfId="0" applyNumberFormat="1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165" fontId="18" fillId="11" borderId="1" xfId="0" applyNumberFormat="1" applyFont="1" applyFill="1" applyBorder="1" applyAlignment="1">
      <alignment horizontal="right" vertical="center"/>
    </xf>
    <xf numFmtId="0" fontId="14" fillId="11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164" fontId="9" fillId="8" borderId="1" xfId="0" applyNumberFormat="1" applyFont="1" applyFill="1" applyBorder="1" applyAlignment="1">
      <alignment horizontal="right" vertical="center"/>
    </xf>
    <xf numFmtId="164" fontId="20" fillId="9" borderId="1" xfId="0" applyNumberFormat="1" applyFont="1" applyFill="1" applyBorder="1" applyAlignment="1">
      <alignment horizontal="right" vertical="center"/>
    </xf>
    <xf numFmtId="164" fontId="17" fillId="6" borderId="1" xfId="0" applyNumberFormat="1" applyFont="1" applyFill="1" applyBorder="1" applyAlignment="1">
      <alignment horizontal="right" vertical="center"/>
    </xf>
    <xf numFmtId="0" fontId="17" fillId="11" borderId="1" xfId="0" applyFont="1" applyFill="1" applyBorder="1" applyAlignment="1">
      <alignment horizontal="left" vertical="center"/>
    </xf>
    <xf numFmtId="164" fontId="17" fillId="11" borderId="1" xfId="0" applyNumberFormat="1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left" vertical="center"/>
    </xf>
    <xf numFmtId="164" fontId="21" fillId="8" borderId="1" xfId="0" applyNumberFormat="1" applyFont="1" applyFill="1" applyBorder="1" applyAlignment="1">
      <alignment horizontal="right" vertical="center"/>
    </xf>
    <xf numFmtId="3" fontId="17" fillId="6" borderId="1" xfId="0" applyNumberFormat="1" applyFont="1" applyFill="1" applyBorder="1" applyAlignment="1">
      <alignment horizontal="right" vertical="center"/>
    </xf>
    <xf numFmtId="0" fontId="22" fillId="11" borderId="1" xfId="0" applyFont="1" applyFill="1" applyBorder="1" applyAlignment="1">
      <alignment horizontal="left" vertical="center"/>
    </xf>
    <xf numFmtId="3" fontId="22" fillId="11" borderId="1" xfId="0" applyNumberFormat="1" applyFont="1" applyFill="1" applyBorder="1" applyAlignment="1">
      <alignment horizontal="right" vertical="center"/>
    </xf>
    <xf numFmtId="165" fontId="22" fillId="11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165" fontId="20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5" fontId="20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right" vertical="center"/>
    </xf>
    <xf numFmtId="165" fontId="17" fillId="11" borderId="1" xfId="0" applyNumberFormat="1" applyFont="1" applyFill="1" applyBorder="1" applyAlignment="1">
      <alignment horizontal="right" vertical="center"/>
    </xf>
    <xf numFmtId="0" fontId="17" fillId="11" borderId="1" xfId="0" applyFont="1" applyFill="1" applyBorder="1" applyAlignment="1">
      <alignment horizontal="right" vertical="center"/>
    </xf>
    <xf numFmtId="164" fontId="20" fillId="8" borderId="1" xfId="0" applyNumberFormat="1" applyFont="1" applyFill="1" applyBorder="1" applyAlignment="1">
      <alignment horizontal="right" vertical="center"/>
    </xf>
    <xf numFmtId="0" fontId="23" fillId="8" borderId="1" xfId="0" applyFont="1" applyFill="1" applyBorder="1" applyAlignment="1">
      <alignment horizontal="center" vertical="center"/>
    </xf>
    <xf numFmtId="165" fontId="20" fillId="9" borderId="1" xfId="0" applyNumberFormat="1" applyFont="1" applyFill="1" applyBorder="1" applyAlignment="1">
      <alignment horizontal="right" vertical="center"/>
    </xf>
    <xf numFmtId="0" fontId="23" fillId="9" borderId="1" xfId="0" applyFont="1" applyFill="1" applyBorder="1" applyAlignment="1">
      <alignment horizontal="center" vertical="center"/>
    </xf>
    <xf numFmtId="3" fontId="20" fillId="8" borderId="1" xfId="0" applyNumberFormat="1" applyFont="1" applyFill="1" applyBorder="1" applyAlignment="1">
      <alignment horizontal="right" vertical="center"/>
    </xf>
    <xf numFmtId="3" fontId="20" fillId="9" borderId="1" xfId="0" applyNumberFormat="1" applyFont="1" applyFill="1" applyBorder="1" applyAlignment="1">
      <alignment horizontal="right" vertical="center"/>
    </xf>
    <xf numFmtId="164" fontId="20" fillId="11" borderId="1" xfId="0" applyNumberFormat="1" applyFont="1" applyFill="1" applyBorder="1" applyAlignment="1">
      <alignment horizontal="right" vertical="center"/>
    </xf>
    <xf numFmtId="3" fontId="20" fillId="11" borderId="1" xfId="0" applyNumberFormat="1" applyFont="1" applyFill="1" applyBorder="1" applyAlignment="1">
      <alignment horizontal="right" vertical="center"/>
    </xf>
    <xf numFmtId="0" fontId="27" fillId="12" borderId="1" xfId="0" applyFont="1" applyFill="1" applyBorder="1" applyAlignment="1">
      <alignment horizontal="center" vertical="center"/>
    </xf>
    <xf numFmtId="3" fontId="8" fillId="11" borderId="1" xfId="0" applyNumberFormat="1" applyFont="1" applyFill="1" applyBorder="1" applyAlignment="1">
      <alignment horizontal="right" vertical="center"/>
    </xf>
    <xf numFmtId="0" fontId="27" fillId="11" borderId="1" xfId="0" applyFont="1" applyFill="1" applyBorder="1" applyAlignment="1">
      <alignment horizontal="center" vertical="center"/>
    </xf>
    <xf numFmtId="3" fontId="8" fillId="13" borderId="1" xfId="0" applyNumberFormat="1" applyFont="1" applyFill="1" applyBorder="1" applyAlignment="1">
      <alignment horizontal="right" vertical="center"/>
    </xf>
    <xf numFmtId="0" fontId="27" fillId="13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3" fontId="8" fillId="15" borderId="1" xfId="0" applyNumberFormat="1" applyFont="1" applyFill="1" applyBorder="1" applyAlignment="1">
      <alignment horizontal="right" vertical="center"/>
    </xf>
    <xf numFmtId="0" fontId="27" fillId="15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right" vertical="center"/>
    </xf>
    <xf numFmtId="0" fontId="27" fillId="6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 vertical="center"/>
    </xf>
    <xf numFmtId="165" fontId="8" fillId="12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165" fontId="8" fillId="11" borderId="1" xfId="0" applyNumberFormat="1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left" vertical="center"/>
    </xf>
    <xf numFmtId="165" fontId="8" fillId="13" borderId="1" xfId="0" applyNumberFormat="1" applyFont="1" applyFill="1" applyBorder="1" applyAlignment="1">
      <alignment horizontal="right" vertical="center"/>
    </xf>
    <xf numFmtId="0" fontId="14" fillId="13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165" fontId="8" fillId="10" borderId="1" xfId="0" applyNumberFormat="1" applyFont="1" applyFill="1" applyBorder="1" applyAlignment="1">
      <alignment horizontal="right" vertical="center"/>
    </xf>
    <xf numFmtId="3" fontId="8" fillId="10" borderId="1" xfId="0" applyNumberFormat="1" applyFont="1" applyFill="1" applyBorder="1" applyAlignment="1">
      <alignment horizontal="right" vertical="center"/>
    </xf>
    <xf numFmtId="0" fontId="8" fillId="14" borderId="1" xfId="0" applyFont="1" applyFill="1" applyBorder="1" applyAlignment="1">
      <alignment horizontal="left" vertical="center"/>
    </xf>
    <xf numFmtId="165" fontId="8" fillId="14" borderId="1" xfId="0" applyNumberFormat="1" applyFont="1" applyFill="1" applyBorder="1" applyAlignment="1">
      <alignment horizontal="right" vertical="center"/>
    </xf>
    <xf numFmtId="3" fontId="8" fillId="14" borderId="1" xfId="0" applyNumberFormat="1" applyFont="1" applyFill="1" applyBorder="1" applyAlignment="1">
      <alignment horizontal="right" vertical="center"/>
    </xf>
    <xf numFmtId="0" fontId="14" fillId="14" borderId="1" xfId="0" applyFont="1" applyFill="1" applyBorder="1" applyAlignment="1">
      <alignment horizontal="left" vertical="center"/>
    </xf>
    <xf numFmtId="0" fontId="27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/>
    </xf>
    <xf numFmtId="165" fontId="8" fillId="15" borderId="1" xfId="0" applyNumberFormat="1" applyFont="1" applyFill="1" applyBorder="1" applyAlignment="1">
      <alignment horizontal="right" vertical="center"/>
    </xf>
    <xf numFmtId="0" fontId="14" fillId="1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165" fontId="8" fillId="6" borderId="1" xfId="0" applyNumberFormat="1" applyFont="1" applyFill="1" applyBorder="1" applyAlignment="1">
      <alignment horizontal="right" vertical="center"/>
    </xf>
    <xf numFmtId="165" fontId="17" fillId="6" borderId="1" xfId="0" applyNumberFormat="1" applyFont="1" applyFill="1" applyBorder="1" applyAlignment="1">
      <alignment horizontal="right" vertical="center"/>
    </xf>
    <xf numFmtId="164" fontId="14" fillId="11" borderId="1" xfId="0" applyNumberFormat="1" applyFont="1" applyFill="1" applyBorder="1" applyAlignment="1">
      <alignment horizontal="right" vertical="center"/>
    </xf>
    <xf numFmtId="0" fontId="30" fillId="9" borderId="1" xfId="0" applyFont="1" applyFill="1" applyBorder="1" applyAlignment="1">
      <alignment horizontal="left" vertical="center"/>
    </xf>
    <xf numFmtId="164" fontId="30" fillId="9" borderId="1" xfId="0" applyNumberFormat="1" applyFont="1" applyFill="1" applyBorder="1" applyAlignment="1">
      <alignment horizontal="right" vertical="center"/>
    </xf>
    <xf numFmtId="164" fontId="31" fillId="9" borderId="1" xfId="0" applyNumberFormat="1" applyFont="1" applyFill="1" applyBorder="1" applyAlignment="1">
      <alignment horizontal="right" vertical="center"/>
    </xf>
    <xf numFmtId="164" fontId="32" fillId="9" borderId="1" xfId="0" applyNumberFormat="1" applyFont="1" applyFill="1" applyBorder="1" applyAlignment="1">
      <alignment horizontal="right" vertical="center"/>
    </xf>
    <xf numFmtId="164" fontId="30" fillId="8" borderId="1" xfId="0" applyNumberFormat="1" applyFont="1" applyFill="1" applyBorder="1" applyAlignment="1">
      <alignment horizontal="right" vertical="center"/>
    </xf>
    <xf numFmtId="0" fontId="31" fillId="10" borderId="1" xfId="0" applyFont="1" applyFill="1" applyBorder="1" applyAlignment="1">
      <alignment horizontal="left" vertical="center"/>
    </xf>
    <xf numFmtId="164" fontId="31" fillId="10" borderId="1" xfId="0" applyNumberFormat="1" applyFont="1" applyFill="1" applyBorder="1" applyAlignment="1">
      <alignment horizontal="right" vertical="center"/>
    </xf>
    <xf numFmtId="3" fontId="8" fillId="8" borderId="1" xfId="0" applyNumberFormat="1" applyFont="1" applyFill="1" applyBorder="1" applyAlignment="1">
      <alignment horizontal="center" vertical="center"/>
    </xf>
    <xf numFmtId="3" fontId="8" fillId="9" borderId="1" xfId="0" applyNumberFormat="1" applyFont="1" applyFill="1" applyBorder="1" applyAlignment="1">
      <alignment horizontal="center" vertical="center"/>
    </xf>
    <xf numFmtId="3" fontId="20" fillId="8" borderId="1" xfId="0" applyNumberFormat="1" applyFont="1" applyFill="1" applyBorder="1" applyAlignment="1">
      <alignment horizontal="center" vertical="center"/>
    </xf>
    <xf numFmtId="3" fontId="20" fillId="9" borderId="1" xfId="0" applyNumberFormat="1" applyFont="1" applyFill="1" applyBorder="1" applyAlignment="1">
      <alignment horizontal="center" vertical="center"/>
    </xf>
    <xf numFmtId="3" fontId="9" fillId="10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0" fillId="0" borderId="2" xfId="0" applyBorder="1"/>
    <xf numFmtId="0" fontId="6" fillId="3" borderId="0" xfId="0" applyFont="1" applyFill="1" applyAlignment="1">
      <alignment horizontal="center" vertical="center"/>
    </xf>
    <xf numFmtId="0" fontId="0" fillId="0" borderId="0" xfId="0"/>
    <xf numFmtId="0" fontId="27" fillId="11" borderId="1" xfId="0" applyFont="1" applyFill="1" applyBorder="1" applyAlignment="1">
      <alignment horizontal="center" vertical="center"/>
    </xf>
    <xf numFmtId="0" fontId="0" fillId="0" borderId="3" xfId="0" applyBorder="1"/>
    <xf numFmtId="165" fontId="8" fillId="9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/>
    </xf>
    <xf numFmtId="3" fontId="8" fillId="15" borderId="1" xfId="0" applyNumberFormat="1" applyFont="1" applyFill="1" applyBorder="1" applyAlignment="1">
      <alignment horizontal="right" vertical="center"/>
    </xf>
    <xf numFmtId="3" fontId="8" fillId="11" borderId="1" xfId="0" applyNumberFormat="1" applyFont="1" applyFill="1" applyBorder="1" applyAlignment="1">
      <alignment horizontal="right" vertical="center"/>
    </xf>
    <xf numFmtId="164" fontId="9" fillId="10" borderId="1" xfId="0" applyNumberFormat="1" applyFont="1" applyFill="1" applyBorder="1" applyAlignment="1">
      <alignment horizontal="right" vertical="center"/>
    </xf>
    <xf numFmtId="165" fontId="28" fillId="15" borderId="1" xfId="0" applyNumberFormat="1" applyFont="1" applyFill="1" applyBorder="1" applyAlignment="1">
      <alignment horizontal="right" vertical="center"/>
    </xf>
    <xf numFmtId="0" fontId="29" fillId="10" borderId="1" xfId="0" applyFont="1" applyFill="1" applyBorder="1" applyAlignment="1">
      <alignment horizontal="left" vertical="center"/>
    </xf>
    <xf numFmtId="165" fontId="8" fillId="8" borderId="1" xfId="0" applyNumberFormat="1" applyFont="1" applyFill="1" applyBorder="1" applyAlignment="1">
      <alignment horizontal="right" vertical="center"/>
    </xf>
    <xf numFmtId="3" fontId="8" fillId="12" borderId="1" xfId="0" applyNumberFormat="1" applyFont="1" applyFill="1" applyBorder="1" applyAlignment="1">
      <alignment horizontal="right" vertical="center"/>
    </xf>
    <xf numFmtId="164" fontId="8" fillId="9" borderId="1" xfId="0" applyNumberFormat="1" applyFont="1" applyFill="1" applyBorder="1" applyAlignment="1">
      <alignment horizontal="right" vertical="center"/>
    </xf>
    <xf numFmtId="0" fontId="27" fillId="13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165" fontId="28" fillId="11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right" vertical="center"/>
    </xf>
    <xf numFmtId="165" fontId="28" fillId="6" borderId="1" xfId="0" applyNumberFormat="1" applyFont="1" applyFill="1" applyBorder="1" applyAlignment="1">
      <alignment horizontal="right" vertical="center"/>
    </xf>
    <xf numFmtId="0" fontId="28" fillId="12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8" fillId="8" borderId="1" xfId="0" applyFont="1" applyFill="1" applyBorder="1" applyAlignment="1">
      <alignment horizontal="left" vertical="center"/>
    </xf>
    <xf numFmtId="165" fontId="28" fillId="8" borderId="1" xfId="0" applyNumberFormat="1" applyFont="1" applyFill="1" applyBorder="1" applyAlignment="1">
      <alignment horizontal="right" vertical="center"/>
    </xf>
    <xf numFmtId="0" fontId="28" fillId="13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3" fontId="8" fillId="13" borderId="1" xfId="0" applyNumberFormat="1" applyFont="1" applyFill="1" applyBorder="1" applyAlignment="1">
      <alignment horizontal="right" vertical="center"/>
    </xf>
    <xf numFmtId="165" fontId="9" fillId="10" borderId="1" xfId="0" applyNumberFormat="1" applyFont="1" applyFill="1" applyBorder="1" applyAlignment="1">
      <alignment horizontal="right" vertical="center"/>
    </xf>
    <xf numFmtId="164" fontId="8" fillId="8" borderId="1" xfId="0" applyNumberFormat="1" applyFont="1" applyFill="1" applyBorder="1" applyAlignment="1">
      <alignment horizontal="right" vertical="center"/>
    </xf>
    <xf numFmtId="0" fontId="27" fillId="12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left" vertical="center"/>
    </xf>
    <xf numFmtId="3" fontId="9" fillId="10" borderId="1" xfId="0" applyNumberFormat="1" applyFont="1" applyFill="1" applyBorder="1" applyAlignment="1">
      <alignment horizontal="right" vertical="center"/>
    </xf>
    <xf numFmtId="0" fontId="27" fillId="8" borderId="1" xfId="0" applyFont="1" applyFill="1" applyBorder="1" applyAlignment="1">
      <alignment horizontal="center" vertical="center"/>
    </xf>
    <xf numFmtId="165" fontId="28" fillId="13" borderId="1" xfId="0" applyNumberFormat="1" applyFont="1" applyFill="1" applyBorder="1" applyAlignment="1">
      <alignment horizontal="right" vertical="center"/>
    </xf>
    <xf numFmtId="165" fontId="28" fillId="10" borderId="1" xfId="0" applyNumberFormat="1" applyFont="1" applyFill="1" applyBorder="1" applyAlignment="1">
      <alignment horizontal="right" vertical="center"/>
    </xf>
    <xf numFmtId="0" fontId="27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8" fillId="8" borderId="1" xfId="0" applyNumberFormat="1" applyFont="1" applyFill="1" applyBorder="1" applyAlignment="1">
      <alignment horizontal="right" vertical="center"/>
    </xf>
    <xf numFmtId="0" fontId="28" fillId="11" borderId="1" xfId="0" applyFont="1" applyFill="1" applyBorder="1" applyAlignment="1">
      <alignment horizontal="left" vertical="center"/>
    </xf>
    <xf numFmtId="0" fontId="27" fillId="15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left" vertical="center"/>
    </xf>
    <xf numFmtId="0" fontId="28" fillId="1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24" fillId="3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showGridLines="0" topLeftCell="A26" workbookViewId="0">
      <selection sqref="A1:J1"/>
    </sheetView>
  </sheetViews>
  <sheetFormatPr defaultRowHeight="14.5" x14ac:dyDescent="0.35"/>
  <cols>
    <col min="1" max="1" width="2" customWidth="1"/>
    <col min="2" max="2" width="20" customWidth="1"/>
    <col min="3" max="3" width="1.453125" customWidth="1"/>
    <col min="4" max="4" width="20" customWidth="1"/>
    <col min="5" max="5" width="1.453125" customWidth="1"/>
    <col min="6" max="6" width="20" customWidth="1"/>
    <col min="7" max="7" width="1.453125" customWidth="1"/>
    <col min="8" max="8" width="20" customWidth="1"/>
    <col min="9" max="9" width="1.453125" customWidth="1"/>
    <col min="10" max="10" width="20" customWidth="1"/>
  </cols>
  <sheetData>
    <row r="1" spans="1:10" ht="36" customHeight="1" x14ac:dyDescent="0.35">
      <c r="A1" s="148" t="s">
        <v>0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10" ht="18" customHeight="1" x14ac:dyDescent="0.35">
      <c r="A2" s="163" t="s">
        <v>1</v>
      </c>
      <c r="B2" s="129"/>
      <c r="C2" s="129"/>
      <c r="D2" s="129"/>
      <c r="E2" s="129"/>
      <c r="F2" s="129"/>
      <c r="G2" s="129"/>
      <c r="H2" s="129"/>
      <c r="I2" s="129"/>
      <c r="J2" s="129"/>
    </row>
    <row r="4" spans="1:10" ht="14" customHeight="1" x14ac:dyDescent="0.35">
      <c r="B4" s="1"/>
      <c r="D4" s="2"/>
      <c r="F4" s="3"/>
      <c r="H4" s="4"/>
      <c r="J4" s="5"/>
    </row>
    <row r="5" spans="1:10" ht="22" customHeight="1" x14ac:dyDescent="0.35">
      <c r="B5" s="6" t="s">
        <v>2</v>
      </c>
      <c r="D5" s="7" t="s">
        <v>3</v>
      </c>
      <c r="F5" s="8" t="s">
        <v>4</v>
      </c>
      <c r="H5" s="9" t="s">
        <v>5</v>
      </c>
      <c r="J5" s="10" t="s">
        <v>6</v>
      </c>
    </row>
    <row r="6" spans="1:10" ht="28" customHeight="1" x14ac:dyDescent="0.35">
      <c r="B6" s="11">
        <f>Revenue!E11</f>
        <v>4350000</v>
      </c>
      <c r="D6" s="12">
        <f>Revenue!G11</f>
        <v>3480000</v>
      </c>
      <c r="F6" s="13">
        <f>Expenses!C13</f>
        <v>3510000</v>
      </c>
      <c r="H6" s="14">
        <f>'P&amp;L Summary'!B14</f>
        <v>-30000</v>
      </c>
      <c r="J6" s="15">
        <f>'P&amp;L Summary'!B15</f>
        <v>-8.6206896551724137E-3</v>
      </c>
    </row>
    <row r="7" spans="1:10" ht="22" customHeight="1" x14ac:dyDescent="0.35">
      <c r="B7" s="1"/>
      <c r="D7" s="2"/>
      <c r="F7" s="3"/>
      <c r="H7" s="4"/>
      <c r="J7" s="5"/>
    </row>
    <row r="8" spans="1:10" ht="14" customHeight="1" x14ac:dyDescent="0.35">
      <c r="B8" s="1"/>
      <c r="D8" s="2"/>
      <c r="F8" s="3"/>
      <c r="H8" s="4"/>
      <c r="J8" s="5"/>
    </row>
    <row r="10" spans="1:10" ht="20" customHeight="1" x14ac:dyDescent="0.35">
      <c r="A10" s="128" t="s">
        <v>7</v>
      </c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ht="18" customHeight="1" x14ac:dyDescent="0.35">
      <c r="B11" s="16" t="s">
        <v>8</v>
      </c>
      <c r="C11" s="16" t="s">
        <v>9</v>
      </c>
      <c r="D11" s="16" t="s">
        <v>10</v>
      </c>
      <c r="E11" s="16" t="s">
        <v>11</v>
      </c>
      <c r="F11" s="16" t="s">
        <v>12</v>
      </c>
      <c r="G11" s="16" t="s">
        <v>13</v>
      </c>
      <c r="H11" s="16" t="s">
        <v>14</v>
      </c>
    </row>
    <row r="12" spans="1:10" x14ac:dyDescent="0.35">
      <c r="B12" s="17" t="s">
        <v>15</v>
      </c>
      <c r="C12" s="18">
        <f>Revenue!B5</f>
        <v>4000</v>
      </c>
      <c r="D12" s="19">
        <f>Revenue!D5</f>
        <v>100</v>
      </c>
      <c r="E12" s="18">
        <f>Revenue!E5</f>
        <v>400000</v>
      </c>
      <c r="F12" s="18">
        <f>Revenue!F5</f>
        <v>80000</v>
      </c>
      <c r="G12" s="18">
        <f>Revenue!G5</f>
        <v>320000</v>
      </c>
      <c r="H12" s="20">
        <f>IF(Revenue!E11&gt;0,Revenue!G5/Revenue!E11,0)</f>
        <v>7.3563218390804597E-2</v>
      </c>
    </row>
    <row r="13" spans="1:10" x14ac:dyDescent="0.35">
      <c r="B13" s="21" t="s">
        <v>16</v>
      </c>
      <c r="C13" s="22">
        <f>Revenue!B6</f>
        <v>4000</v>
      </c>
      <c r="D13" s="23">
        <f>Revenue!D6</f>
        <v>100</v>
      </c>
      <c r="E13" s="22">
        <f>Revenue!E6</f>
        <v>400000</v>
      </c>
      <c r="F13" s="22">
        <f>Revenue!F6</f>
        <v>80000</v>
      </c>
      <c r="G13" s="22">
        <f>Revenue!G6</f>
        <v>320000</v>
      </c>
      <c r="H13" s="24">
        <f>IF(Revenue!E11&gt;0,Revenue!G6/Revenue!E11,0)</f>
        <v>7.3563218390804597E-2</v>
      </c>
    </row>
    <row r="14" spans="1:10" x14ac:dyDescent="0.35">
      <c r="B14" s="17" t="s">
        <v>17</v>
      </c>
      <c r="C14" s="18">
        <f>Revenue!B7</f>
        <v>6000</v>
      </c>
      <c r="D14" s="19">
        <f>Revenue!D7</f>
        <v>50</v>
      </c>
      <c r="E14" s="18">
        <f>Revenue!E7</f>
        <v>300000</v>
      </c>
      <c r="F14" s="18">
        <f>Revenue!F7</f>
        <v>60000</v>
      </c>
      <c r="G14" s="18">
        <f>Revenue!G7</f>
        <v>240000</v>
      </c>
      <c r="H14" s="20">
        <f>IF(Revenue!E11&gt;0,Revenue!G7/Revenue!E11,0)</f>
        <v>5.5172413793103448E-2</v>
      </c>
    </row>
    <row r="15" spans="1:10" x14ac:dyDescent="0.35">
      <c r="B15" s="21" t="s">
        <v>18</v>
      </c>
      <c r="C15" s="22">
        <f>Revenue!B8</f>
        <v>25000</v>
      </c>
      <c r="D15" s="23">
        <f>Revenue!D8</f>
        <v>100</v>
      </c>
      <c r="E15" s="22">
        <f>Revenue!E8</f>
        <v>2500000</v>
      </c>
      <c r="F15" s="22">
        <f>Revenue!F8</f>
        <v>500000</v>
      </c>
      <c r="G15" s="22">
        <f>Revenue!G8</f>
        <v>2000000</v>
      </c>
      <c r="H15" s="24">
        <f>IF(Revenue!E11&gt;0,Revenue!G8/Revenue!E11,0)</f>
        <v>0.45977011494252873</v>
      </c>
    </row>
    <row r="16" spans="1:10" x14ac:dyDescent="0.35">
      <c r="B16" s="17" t="s">
        <v>19</v>
      </c>
      <c r="C16" s="18">
        <f>Revenue!B9</f>
        <v>9000</v>
      </c>
      <c r="D16" s="19">
        <f>Revenue!D9</f>
        <v>50</v>
      </c>
      <c r="E16" s="18">
        <f>Revenue!E9</f>
        <v>450000</v>
      </c>
      <c r="F16" s="18">
        <f>Revenue!F9</f>
        <v>90000</v>
      </c>
      <c r="G16" s="18">
        <f>Revenue!G9</f>
        <v>360000</v>
      </c>
      <c r="H16" s="20">
        <f>IF(Revenue!E11&gt;0,Revenue!G9/Revenue!E11,0)</f>
        <v>8.2758620689655171E-2</v>
      </c>
    </row>
    <row r="17" spans="1:10" x14ac:dyDescent="0.35">
      <c r="B17" s="21" t="s">
        <v>20</v>
      </c>
      <c r="C17" s="22">
        <f>Revenue!B10</f>
        <v>15000</v>
      </c>
      <c r="D17" s="23">
        <f>Revenue!D10</f>
        <v>20</v>
      </c>
      <c r="E17" s="22">
        <f>Revenue!E10</f>
        <v>300000</v>
      </c>
      <c r="F17" s="22">
        <f>Revenue!F10</f>
        <v>60000</v>
      </c>
      <c r="G17" s="22">
        <f>Revenue!G10</f>
        <v>240000</v>
      </c>
      <c r="H17" s="24">
        <f>IF(Revenue!E11&gt;0,Revenue!G10/Revenue!E11,0)</f>
        <v>5.5172413793103448E-2</v>
      </c>
    </row>
    <row r="18" spans="1:10" x14ac:dyDescent="0.35">
      <c r="B18" s="25" t="s">
        <v>21</v>
      </c>
      <c r="C18" s="18"/>
      <c r="D18" s="26">
        <f>Revenue!D11</f>
        <v>420</v>
      </c>
      <c r="E18" s="27">
        <f>Revenue!E11</f>
        <v>4350000</v>
      </c>
      <c r="F18" s="27">
        <f>Revenue!F11</f>
        <v>870000</v>
      </c>
      <c r="G18" s="27">
        <f>Revenue!G11</f>
        <v>3480000</v>
      </c>
      <c r="H18" s="28">
        <f>100%</f>
        <v>1</v>
      </c>
    </row>
    <row r="19" spans="1:10" x14ac:dyDescent="0.35">
      <c r="B19" s="21"/>
      <c r="C19" s="22"/>
      <c r="D19" s="23"/>
      <c r="E19" s="22"/>
      <c r="F19" s="22"/>
      <c r="G19" s="22"/>
      <c r="H19" s="24"/>
    </row>
    <row r="20" spans="1:10" x14ac:dyDescent="0.35">
      <c r="B20" s="25"/>
      <c r="D20" s="26"/>
      <c r="E20" s="27"/>
      <c r="F20" s="27"/>
      <c r="G20" s="27"/>
      <c r="H20" s="28"/>
    </row>
    <row r="22" spans="1:10" ht="20" customHeight="1" x14ac:dyDescent="0.35">
      <c r="A22" s="128" t="s">
        <v>22</v>
      </c>
      <c r="B22" s="129"/>
      <c r="C22" s="129"/>
      <c r="D22" s="129"/>
      <c r="E22" s="129"/>
      <c r="F22" s="129"/>
      <c r="G22" s="129"/>
      <c r="H22" s="129"/>
      <c r="I22" s="129"/>
      <c r="J22" s="129"/>
    </row>
    <row r="23" spans="1:10" ht="18" customHeight="1" x14ac:dyDescent="0.35">
      <c r="B23" s="16" t="s">
        <v>23</v>
      </c>
      <c r="D23" s="16" t="s">
        <v>24</v>
      </c>
      <c r="F23" s="16" t="s">
        <v>25</v>
      </c>
    </row>
    <row r="24" spans="1:10" x14ac:dyDescent="0.35">
      <c r="B24" s="152" t="s">
        <v>26</v>
      </c>
      <c r="C24" s="127"/>
      <c r="D24" s="155">
        <f>Expenses!C5+Expenses!C6</f>
        <v>1440000</v>
      </c>
      <c r="E24" s="127"/>
      <c r="F24" s="139"/>
      <c r="G24" s="127"/>
    </row>
    <row r="25" spans="1:10" x14ac:dyDescent="0.35">
      <c r="B25" s="126" t="s">
        <v>27</v>
      </c>
      <c r="C25" s="127"/>
      <c r="D25" s="141">
        <f>Expenses!C7</f>
        <v>240000</v>
      </c>
      <c r="E25" s="127"/>
      <c r="F25" s="132"/>
      <c r="G25" s="127"/>
    </row>
    <row r="26" spans="1:10" x14ac:dyDescent="0.35">
      <c r="B26" s="152" t="s">
        <v>28</v>
      </c>
      <c r="C26" s="127"/>
      <c r="D26" s="155">
        <f>Expenses!C8</f>
        <v>360000</v>
      </c>
      <c r="E26" s="127"/>
      <c r="F26" s="139"/>
      <c r="G26" s="127"/>
    </row>
    <row r="27" spans="1:10" x14ac:dyDescent="0.35">
      <c r="B27" s="126" t="s">
        <v>29</v>
      </c>
      <c r="C27" s="127"/>
      <c r="D27" s="141">
        <f>Expenses!C9</f>
        <v>200000</v>
      </c>
      <c r="E27" s="127"/>
      <c r="F27" s="132"/>
      <c r="G27" s="127"/>
    </row>
    <row r="28" spans="1:10" x14ac:dyDescent="0.35">
      <c r="B28" s="152" t="s">
        <v>30</v>
      </c>
      <c r="C28" s="127"/>
      <c r="D28" s="155">
        <f>Expenses!C10</f>
        <v>870000</v>
      </c>
      <c r="E28" s="127"/>
      <c r="F28" s="139"/>
      <c r="G28" s="127"/>
    </row>
    <row r="29" spans="1:10" x14ac:dyDescent="0.35">
      <c r="B29" s="126" t="s">
        <v>31</v>
      </c>
      <c r="C29" s="127"/>
      <c r="D29" s="141">
        <f>Expenses!C11</f>
        <v>300000</v>
      </c>
      <c r="E29" s="127"/>
      <c r="F29" s="132"/>
      <c r="G29" s="127"/>
    </row>
    <row r="30" spans="1:10" x14ac:dyDescent="0.35">
      <c r="B30" s="152" t="s">
        <v>32</v>
      </c>
      <c r="C30" s="127"/>
      <c r="D30" s="155">
        <f>Expenses!C12</f>
        <v>100000</v>
      </c>
      <c r="E30" s="127"/>
      <c r="F30" s="139"/>
      <c r="G30" s="127"/>
    </row>
    <row r="31" spans="1:10" x14ac:dyDescent="0.35">
      <c r="B31" s="133" t="s">
        <v>4</v>
      </c>
      <c r="C31" s="127"/>
      <c r="D31" s="136">
        <f>Expenses!C13</f>
        <v>3510000</v>
      </c>
      <c r="E31" s="127"/>
      <c r="F31" s="154">
        <f>100%</f>
        <v>1</v>
      </c>
      <c r="G31" s="127"/>
    </row>
    <row r="33" spans="1:10" ht="18" customHeight="1" x14ac:dyDescent="0.35">
      <c r="A33" s="169" t="s">
        <v>33</v>
      </c>
      <c r="B33" s="131"/>
      <c r="C33" s="131"/>
      <c r="D33" s="131"/>
      <c r="E33" s="131"/>
      <c r="F33" s="131"/>
      <c r="G33" s="131"/>
      <c r="H33" s="131"/>
      <c r="I33" s="131"/>
      <c r="J33" s="127"/>
    </row>
    <row r="34" spans="1:10" ht="18" customHeight="1" x14ac:dyDescent="0.35">
      <c r="B34" s="16" t="s">
        <v>34</v>
      </c>
      <c r="D34" s="16" t="s">
        <v>35</v>
      </c>
      <c r="F34" s="16" t="s">
        <v>36</v>
      </c>
      <c r="H34" s="16" t="s">
        <v>37</v>
      </c>
    </row>
    <row r="35" spans="1:10" x14ac:dyDescent="0.35">
      <c r="B35" s="168" t="s">
        <v>38</v>
      </c>
      <c r="C35" s="127"/>
      <c r="D35" s="140">
        <f>'Enrollment Funnel'!B6</f>
        <v>1000</v>
      </c>
      <c r="E35" s="127"/>
      <c r="F35" s="147" t="s">
        <v>39</v>
      </c>
      <c r="G35" s="127"/>
      <c r="H35" s="156" t="str">
        <f>'Enrollment Funnel'!G6</f>
        <v>✅ On Track</v>
      </c>
      <c r="I35" s="131"/>
      <c r="J35" s="127"/>
    </row>
    <row r="36" spans="1:10" x14ac:dyDescent="0.35">
      <c r="B36" s="165" t="s">
        <v>40</v>
      </c>
      <c r="C36" s="127"/>
      <c r="D36" s="135">
        <f>'Enrollment Funnel'!B7</f>
        <v>700</v>
      </c>
      <c r="E36" s="127"/>
      <c r="F36" s="144">
        <f>'Enrollment Funnel'!C7</f>
        <v>0.7</v>
      </c>
      <c r="G36" s="127"/>
      <c r="H36" s="130" t="str">
        <f>'Enrollment Funnel'!G7</f>
        <v>✅ On Track</v>
      </c>
      <c r="I36" s="131"/>
      <c r="J36" s="127"/>
    </row>
    <row r="37" spans="1:10" x14ac:dyDescent="0.35">
      <c r="B37" s="151" t="s">
        <v>41</v>
      </c>
      <c r="C37" s="127"/>
      <c r="D37" s="153">
        <f>'Enrollment Funnel'!B8</f>
        <v>400</v>
      </c>
      <c r="E37" s="127"/>
      <c r="F37" s="160">
        <f>'Enrollment Funnel'!C8</f>
        <v>0.4</v>
      </c>
      <c r="G37" s="127"/>
      <c r="H37" s="142" t="str">
        <f>'Enrollment Funnel'!G8</f>
        <v>⚠️ Below Target</v>
      </c>
      <c r="I37" s="131"/>
      <c r="J37" s="127"/>
    </row>
    <row r="38" spans="1:10" x14ac:dyDescent="0.35">
      <c r="B38" s="149" t="s">
        <v>42</v>
      </c>
      <c r="C38" s="127"/>
      <c r="D38" s="164">
        <f>'Enrollment Funnel'!B9</f>
        <v>200</v>
      </c>
      <c r="E38" s="127"/>
      <c r="F38" s="150">
        <f>'Enrollment Funnel'!C9</f>
        <v>0.2</v>
      </c>
      <c r="G38" s="127"/>
      <c r="H38" s="159" t="str">
        <f>'Enrollment Funnel'!G9</f>
        <v>⚠️ Below Target</v>
      </c>
      <c r="I38" s="131"/>
      <c r="J38" s="127"/>
    </row>
    <row r="39" spans="1:10" x14ac:dyDescent="0.35">
      <c r="B39" s="138" t="s">
        <v>43</v>
      </c>
      <c r="C39" s="127"/>
      <c r="D39" s="158">
        <f>'Enrollment Funnel'!B10</f>
        <v>0</v>
      </c>
      <c r="E39" s="127"/>
      <c r="F39" s="161">
        <f>'Enrollment Funnel'!C10</f>
        <v>0</v>
      </c>
      <c r="G39" s="127"/>
      <c r="H39" s="143" t="str">
        <f>'Enrollment Funnel'!G10</f>
        <v>⚠️ Below Target</v>
      </c>
      <c r="I39" s="131"/>
      <c r="J39" s="127"/>
    </row>
    <row r="40" spans="1:10" x14ac:dyDescent="0.35">
      <c r="B40" s="157" t="s">
        <v>44</v>
      </c>
      <c r="C40" s="127"/>
      <c r="D40" s="134">
        <f>'Enrollment Funnel'!B12</f>
        <v>350</v>
      </c>
      <c r="E40" s="127"/>
      <c r="F40" s="137">
        <f>'Enrollment Funnel'!C12</f>
        <v>0.35</v>
      </c>
      <c r="G40" s="127"/>
      <c r="H40" s="166" t="str">
        <f>'Enrollment Funnel'!G11</f>
        <v>✅ On Track</v>
      </c>
      <c r="I40" s="131"/>
      <c r="J40" s="127"/>
    </row>
    <row r="41" spans="1:10" x14ac:dyDescent="0.35">
      <c r="B41" s="167" t="s">
        <v>45</v>
      </c>
      <c r="C41" s="127"/>
      <c r="D41" s="145">
        <f>'Enrollment Funnel'!B13</f>
        <v>343</v>
      </c>
      <c r="E41" s="127"/>
      <c r="F41" s="146">
        <f>'Enrollment Funnel'!C13</f>
        <v>0.34300000000000003</v>
      </c>
      <c r="G41" s="127"/>
      <c r="H41" s="162" t="str">
        <f>'Enrollment Funnel'!G12</f>
        <v>⚠️ Below Target</v>
      </c>
      <c r="I41" s="131"/>
      <c r="J41" s="127"/>
    </row>
  </sheetData>
  <mergeCells count="57">
    <mergeCell ref="H41:J41"/>
    <mergeCell ref="D29:E29"/>
    <mergeCell ref="A2:J2"/>
    <mergeCell ref="D38:E38"/>
    <mergeCell ref="B36:C36"/>
    <mergeCell ref="H40:J40"/>
    <mergeCell ref="B26:C26"/>
    <mergeCell ref="B41:C41"/>
    <mergeCell ref="D26:E26"/>
    <mergeCell ref="B35:C35"/>
    <mergeCell ref="A33:J33"/>
    <mergeCell ref="D41:E41"/>
    <mergeCell ref="F26:G26"/>
    <mergeCell ref="F41:G41"/>
    <mergeCell ref="F35:G35"/>
    <mergeCell ref="A1:J1"/>
    <mergeCell ref="B38:C38"/>
    <mergeCell ref="B29:C29"/>
    <mergeCell ref="F38:G38"/>
    <mergeCell ref="B37:C37"/>
    <mergeCell ref="B28:C28"/>
    <mergeCell ref="D37:E37"/>
    <mergeCell ref="F31:G31"/>
    <mergeCell ref="D28:E28"/>
    <mergeCell ref="F28:G28"/>
    <mergeCell ref="H35:J35"/>
    <mergeCell ref="B40:C40"/>
    <mergeCell ref="A10:J10"/>
    <mergeCell ref="B39:C39"/>
    <mergeCell ref="F24:G24"/>
    <mergeCell ref="F30:G30"/>
    <mergeCell ref="D35:E35"/>
    <mergeCell ref="D27:E27"/>
    <mergeCell ref="H37:J37"/>
    <mergeCell ref="H39:J39"/>
    <mergeCell ref="F36:G36"/>
    <mergeCell ref="F27:G27"/>
    <mergeCell ref="D39:E39"/>
    <mergeCell ref="D25:E25"/>
    <mergeCell ref="H38:J38"/>
    <mergeCell ref="F37:G37"/>
    <mergeCell ref="B24:C24"/>
    <mergeCell ref="B30:C30"/>
    <mergeCell ref="D40:E40"/>
    <mergeCell ref="B27:C27"/>
    <mergeCell ref="D36:E36"/>
    <mergeCell ref="D31:E31"/>
    <mergeCell ref="F40:G40"/>
    <mergeCell ref="F39:G39"/>
    <mergeCell ref="D30:E30"/>
    <mergeCell ref="B25:C25"/>
    <mergeCell ref="A22:J22"/>
    <mergeCell ref="H36:J36"/>
    <mergeCell ref="F29:G29"/>
    <mergeCell ref="F25:G25"/>
    <mergeCell ref="B31:C31"/>
    <mergeCell ref="D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workbookViewId="0">
      <selection sqref="A1:G1"/>
    </sheetView>
  </sheetViews>
  <sheetFormatPr defaultRowHeight="14.5" x14ac:dyDescent="0.35"/>
  <cols>
    <col min="1" max="1" width="34" customWidth="1"/>
    <col min="2" max="2" width="20" customWidth="1"/>
    <col min="3" max="3" width="12" customWidth="1"/>
    <col min="4" max="7" width="20" customWidth="1"/>
  </cols>
  <sheetData>
    <row r="1" spans="1:7" ht="28" customHeight="1" x14ac:dyDescent="0.35">
      <c r="A1" s="170" t="s">
        <v>46</v>
      </c>
      <c r="B1" s="129"/>
      <c r="C1" s="129"/>
      <c r="D1" s="129"/>
      <c r="E1" s="129"/>
      <c r="F1" s="129"/>
      <c r="G1" s="129"/>
    </row>
    <row r="3" spans="1:7" ht="20" customHeight="1" x14ac:dyDescent="0.35">
      <c r="A3" s="128" t="s">
        <v>47</v>
      </c>
      <c r="B3" s="129"/>
      <c r="C3" s="129"/>
      <c r="D3" s="129"/>
      <c r="E3" s="129"/>
      <c r="F3" s="129"/>
      <c r="G3" s="129"/>
    </row>
    <row r="4" spans="1:7" ht="18" customHeight="1" x14ac:dyDescent="0.35">
      <c r="A4" s="16" t="s">
        <v>8</v>
      </c>
      <c r="B4" s="16" t="s">
        <v>48</v>
      </c>
      <c r="C4" s="16" t="s">
        <v>49</v>
      </c>
      <c r="D4" s="16" t="s">
        <v>50</v>
      </c>
      <c r="E4" s="16" t="s">
        <v>51</v>
      </c>
      <c r="F4" s="16" t="s">
        <v>52</v>
      </c>
      <c r="G4" s="16" t="s">
        <v>53</v>
      </c>
    </row>
    <row r="5" spans="1:7" x14ac:dyDescent="0.35">
      <c r="A5" s="17" t="s">
        <v>15</v>
      </c>
      <c r="B5" s="71">
        <v>4000</v>
      </c>
      <c r="C5" s="64" t="s">
        <v>54</v>
      </c>
      <c r="D5" s="75">
        <v>100</v>
      </c>
      <c r="E5" s="18">
        <f t="shared" ref="E5:E10" si="0">B5*D5</f>
        <v>400000</v>
      </c>
      <c r="F5" s="18">
        <f t="shared" ref="F5:F10" si="1">E5*0.2</f>
        <v>80000</v>
      </c>
      <c r="G5" s="18">
        <f t="shared" ref="G5:G10" si="2">E5-F5</f>
        <v>320000</v>
      </c>
    </row>
    <row r="6" spans="1:7" x14ac:dyDescent="0.35">
      <c r="A6" s="21" t="s">
        <v>55</v>
      </c>
      <c r="B6" s="54">
        <v>4000</v>
      </c>
      <c r="C6" s="66" t="s">
        <v>54</v>
      </c>
      <c r="D6" s="76">
        <v>100</v>
      </c>
      <c r="E6" s="22">
        <f t="shared" si="0"/>
        <v>400000</v>
      </c>
      <c r="F6" s="22">
        <f t="shared" si="1"/>
        <v>80000</v>
      </c>
      <c r="G6" s="22">
        <f t="shared" si="2"/>
        <v>320000</v>
      </c>
    </row>
    <row r="7" spans="1:7" x14ac:dyDescent="0.35">
      <c r="A7" s="17" t="s">
        <v>17</v>
      </c>
      <c r="B7" s="71">
        <v>6000</v>
      </c>
      <c r="C7" s="64" t="s">
        <v>54</v>
      </c>
      <c r="D7" s="75">
        <v>50</v>
      </c>
      <c r="E7" s="18">
        <f t="shared" si="0"/>
        <v>300000</v>
      </c>
      <c r="F7" s="18">
        <f t="shared" si="1"/>
        <v>60000</v>
      </c>
      <c r="G7" s="18">
        <f t="shared" si="2"/>
        <v>240000</v>
      </c>
    </row>
    <row r="8" spans="1:7" x14ac:dyDescent="0.35">
      <c r="A8" s="21" t="s">
        <v>18</v>
      </c>
      <c r="B8" s="54">
        <v>25000</v>
      </c>
      <c r="C8" s="66" t="s">
        <v>56</v>
      </c>
      <c r="D8" s="76">
        <v>100</v>
      </c>
      <c r="E8" s="22">
        <f t="shared" si="0"/>
        <v>2500000</v>
      </c>
      <c r="F8" s="22">
        <f t="shared" si="1"/>
        <v>500000</v>
      </c>
      <c r="G8" s="22">
        <f t="shared" si="2"/>
        <v>2000000</v>
      </c>
    </row>
    <row r="9" spans="1:7" x14ac:dyDescent="0.35">
      <c r="A9" s="17" t="s">
        <v>19</v>
      </c>
      <c r="B9" s="71">
        <v>9000</v>
      </c>
      <c r="C9" s="64" t="s">
        <v>56</v>
      </c>
      <c r="D9" s="75">
        <v>50</v>
      </c>
      <c r="E9" s="18">
        <f t="shared" si="0"/>
        <v>450000</v>
      </c>
      <c r="F9" s="18">
        <f t="shared" si="1"/>
        <v>90000</v>
      </c>
      <c r="G9" s="18">
        <f t="shared" si="2"/>
        <v>360000</v>
      </c>
    </row>
    <row r="10" spans="1:7" x14ac:dyDescent="0.35">
      <c r="A10" s="21" t="s">
        <v>20</v>
      </c>
      <c r="B10" s="54">
        <v>15000</v>
      </c>
      <c r="C10" s="66" t="s">
        <v>54</v>
      </c>
      <c r="D10" s="76">
        <v>20</v>
      </c>
      <c r="E10" s="22">
        <f t="shared" si="0"/>
        <v>300000</v>
      </c>
      <c r="F10" s="22">
        <f t="shared" si="1"/>
        <v>60000</v>
      </c>
      <c r="G10" s="22">
        <f t="shared" si="2"/>
        <v>240000</v>
      </c>
    </row>
    <row r="11" spans="1:7" x14ac:dyDescent="0.35">
      <c r="A11" s="25" t="s">
        <v>21</v>
      </c>
      <c r="D11" s="26">
        <f>SUM(D5:D10)</f>
        <v>420</v>
      </c>
      <c r="E11" s="27">
        <f>SUM(E5:E10)</f>
        <v>4350000</v>
      </c>
      <c r="F11" s="27">
        <f>SUM(F5:F10)</f>
        <v>870000</v>
      </c>
      <c r="G11" s="27">
        <f>SUM(G5:G10)</f>
        <v>3480000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workbookViewId="0">
      <selection sqref="A1:D1"/>
    </sheetView>
  </sheetViews>
  <sheetFormatPr defaultRowHeight="14.5" x14ac:dyDescent="0.35"/>
  <cols>
    <col min="1" max="1" width="36" customWidth="1"/>
    <col min="2" max="2" width="18" customWidth="1"/>
    <col min="3" max="3" width="20" customWidth="1"/>
    <col min="4" max="4" width="34" customWidth="1"/>
  </cols>
  <sheetData>
    <row r="1" spans="1:4" ht="28" customHeight="1" x14ac:dyDescent="0.35">
      <c r="A1" s="170" t="s">
        <v>57</v>
      </c>
      <c r="B1" s="129"/>
      <c r="C1" s="129"/>
      <c r="D1" s="129"/>
    </row>
    <row r="3" spans="1:4" ht="20" customHeight="1" x14ac:dyDescent="0.35">
      <c r="A3" s="128" t="s">
        <v>58</v>
      </c>
      <c r="B3" s="129"/>
      <c r="C3" s="129"/>
      <c r="D3" s="129"/>
    </row>
    <row r="4" spans="1:4" ht="18" customHeight="1" x14ac:dyDescent="0.35">
      <c r="A4" s="16" t="s">
        <v>23</v>
      </c>
      <c r="B4" s="16" t="s">
        <v>59</v>
      </c>
      <c r="C4" s="16" t="s">
        <v>60</v>
      </c>
      <c r="D4" s="16" t="s">
        <v>61</v>
      </c>
    </row>
    <row r="5" spans="1:4" x14ac:dyDescent="0.35">
      <c r="A5" s="29" t="s">
        <v>62</v>
      </c>
      <c r="B5" s="30">
        <v>100000</v>
      </c>
      <c r="C5" s="32">
        <f>B5*12</f>
        <v>1200000</v>
      </c>
      <c r="D5" s="39" t="s">
        <v>63</v>
      </c>
    </row>
    <row r="6" spans="1:4" x14ac:dyDescent="0.35">
      <c r="A6" s="33" t="s">
        <v>64</v>
      </c>
      <c r="B6" s="34">
        <v>20000</v>
      </c>
      <c r="C6" s="36">
        <f>B6*12</f>
        <v>240000</v>
      </c>
      <c r="D6" s="40" t="s">
        <v>65</v>
      </c>
    </row>
    <row r="7" spans="1:4" x14ac:dyDescent="0.35">
      <c r="A7" s="29" t="s">
        <v>27</v>
      </c>
      <c r="B7" s="30">
        <v>20000</v>
      </c>
      <c r="C7" s="32">
        <f>B7*12</f>
        <v>240000</v>
      </c>
      <c r="D7" s="39" t="s">
        <v>66</v>
      </c>
    </row>
    <row r="8" spans="1:4" x14ac:dyDescent="0.35">
      <c r="A8" s="33" t="s">
        <v>28</v>
      </c>
      <c r="B8" s="34">
        <v>30000</v>
      </c>
      <c r="C8" s="36">
        <f>B8*12</f>
        <v>360000</v>
      </c>
      <c r="D8" s="40" t="s">
        <v>67</v>
      </c>
    </row>
    <row r="9" spans="1:4" x14ac:dyDescent="0.35">
      <c r="A9" s="29" t="s">
        <v>29</v>
      </c>
      <c r="B9" s="31" t="s">
        <v>68</v>
      </c>
      <c r="C9" s="32">
        <v>200000</v>
      </c>
      <c r="D9" s="39" t="s">
        <v>69</v>
      </c>
    </row>
    <row r="10" spans="1:4" x14ac:dyDescent="0.35">
      <c r="A10" s="33" t="s">
        <v>70</v>
      </c>
      <c r="B10" s="35" t="s">
        <v>68</v>
      </c>
      <c r="C10" s="41">
        <f>Revenue!F11</f>
        <v>870000</v>
      </c>
      <c r="D10" s="40" t="s">
        <v>71</v>
      </c>
    </row>
    <row r="11" spans="1:4" x14ac:dyDescent="0.35">
      <c r="A11" s="29" t="s">
        <v>31</v>
      </c>
      <c r="B11" s="31" t="s">
        <v>68</v>
      </c>
      <c r="C11" s="32">
        <v>300000</v>
      </c>
      <c r="D11" s="39" t="s">
        <v>72</v>
      </c>
    </row>
    <row r="12" spans="1:4" x14ac:dyDescent="0.35">
      <c r="A12" s="33" t="s">
        <v>73</v>
      </c>
      <c r="B12" s="35" t="s">
        <v>68</v>
      </c>
      <c r="C12" s="36">
        <v>100000</v>
      </c>
      <c r="D12" s="40" t="s">
        <v>74</v>
      </c>
    </row>
    <row r="13" spans="1:4" x14ac:dyDescent="0.35">
      <c r="A13" s="37" t="s">
        <v>75</v>
      </c>
      <c r="C13" s="38">
        <f>SUM(C5:C12)</f>
        <v>3510000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showGridLines="0" workbookViewId="0">
      <selection sqref="A1:C1"/>
    </sheetView>
  </sheetViews>
  <sheetFormatPr defaultRowHeight="14.5" x14ac:dyDescent="0.35"/>
  <cols>
    <col min="1" max="1" width="30" customWidth="1"/>
    <col min="2" max="2" width="22" customWidth="1"/>
    <col min="3" max="3" width="40" customWidth="1"/>
  </cols>
  <sheetData>
    <row r="1" spans="1:3" ht="28" customHeight="1" x14ac:dyDescent="0.35">
      <c r="A1" s="170" t="s">
        <v>76</v>
      </c>
      <c r="B1" s="129"/>
      <c r="C1" s="129"/>
    </row>
    <row r="3" spans="1:3" ht="20" customHeight="1" x14ac:dyDescent="0.35">
      <c r="A3" s="128" t="s">
        <v>77</v>
      </c>
      <c r="B3" s="129"/>
      <c r="C3" s="129"/>
    </row>
    <row r="4" spans="1:3" ht="18" customHeight="1" x14ac:dyDescent="0.35">
      <c r="A4" s="16" t="s">
        <v>78</v>
      </c>
      <c r="B4" s="16" t="s">
        <v>79</v>
      </c>
      <c r="C4" s="16" t="s">
        <v>80</v>
      </c>
    </row>
    <row r="5" spans="1:3" ht="18" customHeight="1" x14ac:dyDescent="0.35">
      <c r="A5" s="171" t="s">
        <v>81</v>
      </c>
      <c r="B5" s="131"/>
      <c r="C5" s="127"/>
    </row>
    <row r="6" spans="1:3" x14ac:dyDescent="0.35">
      <c r="A6" s="29" t="s">
        <v>82</v>
      </c>
      <c r="B6" s="32">
        <f>Revenue!E11</f>
        <v>4350000</v>
      </c>
      <c r="C6" s="39" t="s">
        <v>83</v>
      </c>
    </row>
    <row r="7" spans="1:3" x14ac:dyDescent="0.35">
      <c r="A7" s="42" t="s">
        <v>84</v>
      </c>
      <c r="B7" s="43">
        <f>Revenue!F11</f>
        <v>870000</v>
      </c>
      <c r="C7" s="40" t="s">
        <v>85</v>
      </c>
    </row>
    <row r="8" spans="1:3" x14ac:dyDescent="0.35">
      <c r="A8" s="37" t="s">
        <v>86</v>
      </c>
      <c r="B8" s="38">
        <f>Revenue!G11</f>
        <v>3480000</v>
      </c>
      <c r="C8" s="44" t="s">
        <v>87</v>
      </c>
    </row>
    <row r="10" spans="1:3" ht="18" customHeight="1" x14ac:dyDescent="0.35">
      <c r="A10" s="171" t="s">
        <v>88</v>
      </c>
      <c r="B10" s="131"/>
      <c r="C10" s="127"/>
    </row>
    <row r="11" spans="1:3" x14ac:dyDescent="0.35">
      <c r="A11" s="42" t="s">
        <v>89</v>
      </c>
      <c r="B11" s="43">
        <f>Expenses!C13</f>
        <v>3510000</v>
      </c>
      <c r="C11" s="40" t="s">
        <v>90</v>
      </c>
    </row>
    <row r="13" spans="1:3" ht="18" customHeight="1" x14ac:dyDescent="0.35">
      <c r="A13" s="172" t="s">
        <v>91</v>
      </c>
      <c r="B13" s="131"/>
      <c r="C13" s="127"/>
    </row>
    <row r="14" spans="1:3" x14ac:dyDescent="0.35">
      <c r="A14" s="46" t="s">
        <v>92</v>
      </c>
      <c r="B14" s="47">
        <f>B8-B11</f>
        <v>-30000</v>
      </c>
      <c r="C14" s="48" t="s">
        <v>93</v>
      </c>
    </row>
    <row r="15" spans="1:3" x14ac:dyDescent="0.35">
      <c r="A15" s="49" t="s">
        <v>94</v>
      </c>
      <c r="B15" s="50">
        <f>IF(B8&gt;0,B14/B8,0)</f>
        <v>-8.6206896551724137E-3</v>
      </c>
      <c r="C15" s="51" t="s">
        <v>95</v>
      </c>
    </row>
    <row r="16" spans="1:3" x14ac:dyDescent="0.35">
      <c r="A16" s="49" t="s">
        <v>96</v>
      </c>
      <c r="B16" s="50">
        <f>IF(Revenue!E13&gt;0,B14/Revenue!E13,0)</f>
        <v>0</v>
      </c>
      <c r="C16" s="51" t="s">
        <v>97</v>
      </c>
    </row>
  </sheetData>
  <mergeCells count="5">
    <mergeCell ref="A10:C10"/>
    <mergeCell ref="A13:C13"/>
    <mergeCell ref="A1:C1"/>
    <mergeCell ref="A5:C5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showGridLines="0" workbookViewId="0">
      <selection sqref="A1:E1"/>
    </sheetView>
  </sheetViews>
  <sheetFormatPr defaultRowHeight="14.5" x14ac:dyDescent="0.35"/>
  <cols>
    <col min="1" max="1" width="38" customWidth="1"/>
    <col min="2" max="2" width="20" customWidth="1"/>
    <col min="3" max="3" width="10" customWidth="1"/>
    <col min="4" max="5" width="20" customWidth="1"/>
  </cols>
  <sheetData>
    <row r="1" spans="1:5" ht="28" customHeight="1" x14ac:dyDescent="0.35">
      <c r="A1" s="170" t="s">
        <v>98</v>
      </c>
      <c r="B1" s="129"/>
      <c r="C1" s="129"/>
      <c r="D1" s="129"/>
      <c r="E1" s="129"/>
    </row>
    <row r="3" spans="1:5" ht="20" customHeight="1" x14ac:dyDescent="0.35">
      <c r="A3" s="128" t="s">
        <v>99</v>
      </c>
      <c r="B3" s="129"/>
      <c r="C3" s="129"/>
      <c r="D3" s="129"/>
      <c r="E3" s="129"/>
    </row>
    <row r="4" spans="1:5" ht="18" customHeight="1" x14ac:dyDescent="0.35">
      <c r="A4" s="16" t="s">
        <v>100</v>
      </c>
      <c r="B4" s="16" t="s">
        <v>101</v>
      </c>
      <c r="C4" s="16" t="s">
        <v>35</v>
      </c>
      <c r="D4" s="16" t="s">
        <v>102</v>
      </c>
      <c r="E4" s="16" t="s">
        <v>103</v>
      </c>
    </row>
    <row r="5" spans="1:5" x14ac:dyDescent="0.35">
      <c r="A5" s="17" t="s">
        <v>104</v>
      </c>
      <c r="B5" s="71">
        <v>10000</v>
      </c>
      <c r="C5" s="123">
        <v>2</v>
      </c>
      <c r="D5" s="18">
        <f t="shared" ref="D5:D12" si="0">B5*C5</f>
        <v>20000</v>
      </c>
      <c r="E5" s="18">
        <f t="shared" ref="E5:E12" si="1">D5*12</f>
        <v>240000</v>
      </c>
    </row>
    <row r="6" spans="1:5" x14ac:dyDescent="0.35">
      <c r="A6" s="21" t="s">
        <v>105</v>
      </c>
      <c r="B6" s="54">
        <v>10000</v>
      </c>
      <c r="C6" s="124">
        <v>1</v>
      </c>
      <c r="D6" s="22">
        <f t="shared" si="0"/>
        <v>10000</v>
      </c>
      <c r="E6" s="22">
        <f t="shared" si="1"/>
        <v>120000</v>
      </c>
    </row>
    <row r="7" spans="1:5" x14ac:dyDescent="0.35">
      <c r="A7" s="17" t="s">
        <v>106</v>
      </c>
      <c r="B7" s="71">
        <v>10000</v>
      </c>
      <c r="C7" s="123">
        <v>1</v>
      </c>
      <c r="D7" s="18">
        <f t="shared" si="0"/>
        <v>10000</v>
      </c>
      <c r="E7" s="18">
        <f t="shared" si="1"/>
        <v>120000</v>
      </c>
    </row>
    <row r="8" spans="1:5" x14ac:dyDescent="0.35">
      <c r="A8" s="21" t="s">
        <v>107</v>
      </c>
      <c r="B8" s="54">
        <v>10000</v>
      </c>
      <c r="C8" s="124">
        <v>2</v>
      </c>
      <c r="D8" s="22">
        <f t="shared" si="0"/>
        <v>20000</v>
      </c>
      <c r="E8" s="22">
        <f t="shared" si="1"/>
        <v>240000</v>
      </c>
    </row>
    <row r="9" spans="1:5" x14ac:dyDescent="0.35">
      <c r="A9" s="17" t="s">
        <v>108</v>
      </c>
      <c r="B9" s="71">
        <v>10000</v>
      </c>
      <c r="C9" s="123">
        <v>1</v>
      </c>
      <c r="D9" s="18">
        <f t="shared" si="0"/>
        <v>10000</v>
      </c>
      <c r="E9" s="18">
        <f t="shared" si="1"/>
        <v>120000</v>
      </c>
    </row>
    <row r="10" spans="1:5" x14ac:dyDescent="0.35">
      <c r="A10" s="21" t="s">
        <v>109</v>
      </c>
      <c r="B10" s="54">
        <v>10000</v>
      </c>
      <c r="C10" s="124">
        <v>1</v>
      </c>
      <c r="D10" s="22">
        <f t="shared" si="0"/>
        <v>10000</v>
      </c>
      <c r="E10" s="22">
        <f t="shared" si="1"/>
        <v>120000</v>
      </c>
    </row>
    <row r="11" spans="1:5" x14ac:dyDescent="0.35">
      <c r="A11" s="17" t="s">
        <v>110</v>
      </c>
      <c r="B11" s="71">
        <v>10000</v>
      </c>
      <c r="C11" s="123">
        <v>1</v>
      </c>
      <c r="D11" s="18">
        <f t="shared" si="0"/>
        <v>10000</v>
      </c>
      <c r="E11" s="18">
        <f t="shared" si="1"/>
        <v>120000</v>
      </c>
    </row>
    <row r="12" spans="1:5" x14ac:dyDescent="0.35">
      <c r="A12" s="21" t="s">
        <v>111</v>
      </c>
      <c r="B12" s="54">
        <v>10000</v>
      </c>
      <c r="C12" s="124">
        <v>1</v>
      </c>
      <c r="D12" s="22">
        <f t="shared" si="0"/>
        <v>10000</v>
      </c>
      <c r="E12" s="22">
        <f t="shared" si="1"/>
        <v>120000</v>
      </c>
    </row>
    <row r="13" spans="1:5" x14ac:dyDescent="0.35">
      <c r="A13" s="25" t="s">
        <v>21</v>
      </c>
      <c r="C13" s="125">
        <f>SUM(C5:C12)</f>
        <v>10</v>
      </c>
      <c r="D13" s="27">
        <f>SUM(D5:D12)</f>
        <v>100000</v>
      </c>
      <c r="E13" s="27">
        <f>SUM(E5:E12)</f>
        <v>1200000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showGridLines="0" workbookViewId="0">
      <selection sqref="A1:H1"/>
    </sheetView>
  </sheetViews>
  <sheetFormatPr defaultRowHeight="14.5" x14ac:dyDescent="0.35"/>
  <cols>
    <col min="1" max="1" width="34" customWidth="1"/>
    <col min="2" max="2" width="14" customWidth="1"/>
    <col min="3" max="3" width="16" customWidth="1"/>
    <col min="4" max="4" width="18" customWidth="1"/>
    <col min="5" max="5" width="22" customWidth="1"/>
    <col min="6" max="6" width="18" customWidth="1"/>
    <col min="7" max="7" width="20" customWidth="1"/>
    <col min="8" max="8" width="12" customWidth="1"/>
  </cols>
  <sheetData>
    <row r="1" spans="1:8" ht="28" customHeight="1" x14ac:dyDescent="0.35">
      <c r="A1" s="170" t="s">
        <v>112</v>
      </c>
      <c r="B1" s="129"/>
      <c r="C1" s="129"/>
      <c r="D1" s="129"/>
      <c r="E1" s="129"/>
      <c r="F1" s="129"/>
      <c r="G1" s="129"/>
      <c r="H1" s="129"/>
    </row>
    <row r="3" spans="1:8" ht="20" customHeight="1" x14ac:dyDescent="0.35">
      <c r="A3" s="128" t="s">
        <v>113</v>
      </c>
      <c r="B3" s="129"/>
      <c r="C3" s="129"/>
      <c r="D3" s="129"/>
      <c r="E3" s="129"/>
      <c r="F3" s="129"/>
      <c r="G3" s="129"/>
      <c r="H3" s="129"/>
    </row>
    <row r="4" spans="1:8" ht="18" customHeight="1" x14ac:dyDescent="0.35">
      <c r="A4" s="16" t="s">
        <v>8</v>
      </c>
      <c r="B4" s="16" t="s">
        <v>10</v>
      </c>
      <c r="C4" s="16" t="s">
        <v>9</v>
      </c>
      <c r="D4" s="16" t="s">
        <v>11</v>
      </c>
      <c r="E4" s="16" t="s">
        <v>114</v>
      </c>
      <c r="F4" s="16" t="s">
        <v>115</v>
      </c>
      <c r="G4" s="16" t="s">
        <v>116</v>
      </c>
      <c r="H4" s="16" t="s">
        <v>117</v>
      </c>
    </row>
    <row r="5" spans="1:8" x14ac:dyDescent="0.35">
      <c r="A5" s="17" t="s">
        <v>15</v>
      </c>
      <c r="B5" s="19">
        <f>Revenue!D5</f>
        <v>100</v>
      </c>
      <c r="C5" s="18">
        <f>Revenue!B5</f>
        <v>4000</v>
      </c>
      <c r="D5" s="18">
        <f>Revenue!E5</f>
        <v>400000</v>
      </c>
      <c r="E5" s="71">
        <v>1500</v>
      </c>
      <c r="F5" s="18">
        <f t="shared" ref="F5:F10" si="0">E5*B5</f>
        <v>150000</v>
      </c>
      <c r="G5" s="18">
        <f t="shared" ref="G5:G10" si="1">D5-F5</f>
        <v>250000</v>
      </c>
      <c r="H5" s="20">
        <f t="shared" ref="H5:H11" si="2">IF(D5&gt;0,G5/D5,0)</f>
        <v>0.625</v>
      </c>
    </row>
    <row r="6" spans="1:8" x14ac:dyDescent="0.35">
      <c r="A6" s="21" t="s">
        <v>16</v>
      </c>
      <c r="B6" s="23">
        <f>Revenue!D6</f>
        <v>100</v>
      </c>
      <c r="C6" s="22">
        <f>Revenue!B6</f>
        <v>4000</v>
      </c>
      <c r="D6" s="22">
        <f>Revenue!E6</f>
        <v>400000</v>
      </c>
      <c r="E6" s="54">
        <v>1500</v>
      </c>
      <c r="F6" s="22">
        <f t="shared" si="0"/>
        <v>150000</v>
      </c>
      <c r="G6" s="22">
        <f t="shared" si="1"/>
        <v>250000</v>
      </c>
      <c r="H6" s="24">
        <f t="shared" si="2"/>
        <v>0.625</v>
      </c>
    </row>
    <row r="7" spans="1:8" x14ac:dyDescent="0.35">
      <c r="A7" s="17" t="s">
        <v>17</v>
      </c>
      <c r="B7" s="19">
        <f>Revenue!D7</f>
        <v>50</v>
      </c>
      <c r="C7" s="18">
        <f>Revenue!B7</f>
        <v>6000</v>
      </c>
      <c r="D7" s="18">
        <f>Revenue!E7</f>
        <v>300000</v>
      </c>
      <c r="E7" s="71">
        <v>2000</v>
      </c>
      <c r="F7" s="18">
        <f t="shared" si="0"/>
        <v>100000</v>
      </c>
      <c r="G7" s="18">
        <f t="shared" si="1"/>
        <v>200000</v>
      </c>
      <c r="H7" s="20">
        <f t="shared" si="2"/>
        <v>0.66666666666666663</v>
      </c>
    </row>
    <row r="8" spans="1:8" x14ac:dyDescent="0.35">
      <c r="A8" s="21" t="s">
        <v>18</v>
      </c>
      <c r="B8" s="23">
        <f>Revenue!D8</f>
        <v>100</v>
      </c>
      <c r="C8" s="22">
        <f>Revenue!B8</f>
        <v>25000</v>
      </c>
      <c r="D8" s="22">
        <f>Revenue!E8</f>
        <v>2500000</v>
      </c>
      <c r="E8" s="54">
        <v>5000</v>
      </c>
      <c r="F8" s="22">
        <f t="shared" si="0"/>
        <v>500000</v>
      </c>
      <c r="G8" s="22">
        <f t="shared" si="1"/>
        <v>2000000</v>
      </c>
      <c r="H8" s="24">
        <f t="shared" si="2"/>
        <v>0.8</v>
      </c>
    </row>
    <row r="9" spans="1:8" x14ac:dyDescent="0.35">
      <c r="A9" s="17" t="s">
        <v>19</v>
      </c>
      <c r="B9" s="19">
        <f>Revenue!D9</f>
        <v>50</v>
      </c>
      <c r="C9" s="18">
        <f>Revenue!B9</f>
        <v>9000</v>
      </c>
      <c r="D9" s="18">
        <f>Revenue!E9</f>
        <v>450000</v>
      </c>
      <c r="E9" s="71">
        <v>2500</v>
      </c>
      <c r="F9" s="18">
        <f t="shared" si="0"/>
        <v>125000</v>
      </c>
      <c r="G9" s="18">
        <f t="shared" si="1"/>
        <v>325000</v>
      </c>
      <c r="H9" s="20">
        <f t="shared" si="2"/>
        <v>0.72222222222222221</v>
      </c>
    </row>
    <row r="10" spans="1:8" x14ac:dyDescent="0.35">
      <c r="A10" s="21" t="s">
        <v>20</v>
      </c>
      <c r="B10" s="23">
        <f>Revenue!D10</f>
        <v>20</v>
      </c>
      <c r="C10" s="22">
        <f>Revenue!B10</f>
        <v>15000</v>
      </c>
      <c r="D10" s="22">
        <f>Revenue!E10</f>
        <v>300000</v>
      </c>
      <c r="E10" s="54">
        <v>3000</v>
      </c>
      <c r="F10" s="22">
        <f t="shared" si="0"/>
        <v>60000</v>
      </c>
      <c r="G10" s="22">
        <f t="shared" si="1"/>
        <v>240000</v>
      </c>
      <c r="H10" s="24">
        <f t="shared" si="2"/>
        <v>0.8</v>
      </c>
    </row>
    <row r="11" spans="1:8" x14ac:dyDescent="0.35">
      <c r="A11" s="25" t="s">
        <v>21</v>
      </c>
      <c r="B11" s="26">
        <f>SUM(B5:B10)</f>
        <v>420</v>
      </c>
      <c r="D11" s="27">
        <f>SUM(D5:D10)</f>
        <v>4350000</v>
      </c>
      <c r="F11" s="27">
        <f>SUM(F5:F10)</f>
        <v>1085000</v>
      </c>
      <c r="G11" s="27">
        <f>SUM(G5:G10)</f>
        <v>3265000</v>
      </c>
      <c r="H11" s="28">
        <f t="shared" si="2"/>
        <v>0.75057471264367814</v>
      </c>
    </row>
    <row r="13" spans="1:8" x14ac:dyDescent="0.35">
      <c r="A13" s="173" t="s">
        <v>118</v>
      </c>
      <c r="B13" s="129"/>
      <c r="C13" s="129"/>
      <c r="D13" s="129"/>
      <c r="E13" s="129"/>
      <c r="F13" s="129"/>
      <c r="G13" s="129"/>
      <c r="H13" s="129"/>
    </row>
    <row r="15" spans="1:8" x14ac:dyDescent="0.35">
      <c r="A15" s="129"/>
      <c r="B15" s="129"/>
      <c r="C15" s="129"/>
      <c r="D15" s="129"/>
      <c r="E15" s="129"/>
      <c r="F15" s="129"/>
      <c r="G15" s="129"/>
      <c r="H15" s="129"/>
    </row>
  </sheetData>
  <mergeCells count="4">
    <mergeCell ref="A15:H15"/>
    <mergeCell ref="A3:H3"/>
    <mergeCell ref="A13:H1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6"/>
  <sheetViews>
    <sheetView showGridLines="0" workbookViewId="0">
      <selection sqref="A1:O1"/>
    </sheetView>
  </sheetViews>
  <sheetFormatPr defaultRowHeight="14.5" x14ac:dyDescent="0.35"/>
  <cols>
    <col min="1" max="1" width="28" customWidth="1"/>
    <col min="2" max="13" width="13" customWidth="1"/>
    <col min="14" max="15" width="16" customWidth="1"/>
  </cols>
  <sheetData>
    <row r="1" spans="1:15" ht="30" customHeight="1" x14ac:dyDescent="0.35">
      <c r="A1" s="170" t="s">
        <v>119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</row>
    <row r="2" spans="1:15" ht="16" customHeight="1" x14ac:dyDescent="0.35">
      <c r="A2" s="176" t="s">
        <v>120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</row>
    <row r="3" spans="1:15" ht="18" customHeight="1" x14ac:dyDescent="0.35">
      <c r="A3" s="169" t="s">
        <v>121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</row>
    <row r="4" spans="1:15" ht="18" customHeight="1" x14ac:dyDescent="0.35">
      <c r="A4" s="16" t="s">
        <v>8</v>
      </c>
      <c r="B4" s="16" t="s">
        <v>122</v>
      </c>
      <c r="C4" s="16" t="s">
        <v>123</v>
      </c>
      <c r="D4" s="16" t="s">
        <v>124</v>
      </c>
      <c r="E4" s="16" t="s">
        <v>125</v>
      </c>
      <c r="F4" s="16" t="s">
        <v>126</v>
      </c>
      <c r="G4" s="16" t="s">
        <v>127</v>
      </c>
      <c r="H4" s="16" t="s">
        <v>128</v>
      </c>
      <c r="I4" s="16" t="s">
        <v>129</v>
      </c>
      <c r="J4" s="16" t="s">
        <v>130</v>
      </c>
      <c r="K4" s="16" t="s">
        <v>131</v>
      </c>
      <c r="L4" s="16" t="s">
        <v>132</v>
      </c>
      <c r="M4" s="16" t="s">
        <v>133</v>
      </c>
      <c r="N4" s="16" t="s">
        <v>134</v>
      </c>
      <c r="O4" s="16" t="s">
        <v>135</v>
      </c>
    </row>
    <row r="5" spans="1:15" x14ac:dyDescent="0.35">
      <c r="A5" s="17" t="s">
        <v>15</v>
      </c>
      <c r="B5" s="18">
        <v>33333</v>
      </c>
      <c r="C5" s="18">
        <v>33333</v>
      </c>
      <c r="D5" s="18">
        <v>33333</v>
      </c>
      <c r="E5" s="18">
        <v>33333</v>
      </c>
      <c r="F5" s="18">
        <v>33333</v>
      </c>
      <c r="G5" s="18">
        <v>33333</v>
      </c>
      <c r="H5" s="18">
        <v>33333</v>
      </c>
      <c r="I5" s="18">
        <v>33333</v>
      </c>
      <c r="J5" s="18">
        <v>33333</v>
      </c>
      <c r="K5" s="18">
        <v>33333</v>
      </c>
      <c r="L5" s="18">
        <v>33333</v>
      </c>
      <c r="M5" s="18">
        <v>33333</v>
      </c>
      <c r="N5" s="27">
        <f t="shared" ref="N5:N13" si="0">SUM(B5:M5)</f>
        <v>399996</v>
      </c>
      <c r="O5" s="113">
        <f>Revenue!E5</f>
        <v>400000</v>
      </c>
    </row>
    <row r="6" spans="1:15" x14ac:dyDescent="0.35">
      <c r="A6" s="21" t="s">
        <v>16</v>
      </c>
      <c r="B6" s="22">
        <v>33333</v>
      </c>
      <c r="C6" s="22">
        <v>33333</v>
      </c>
      <c r="D6" s="22">
        <v>33333</v>
      </c>
      <c r="E6" s="22">
        <v>33333</v>
      </c>
      <c r="F6" s="22">
        <v>33333</v>
      </c>
      <c r="G6" s="22">
        <v>33333</v>
      </c>
      <c r="H6" s="22">
        <v>33333</v>
      </c>
      <c r="I6" s="22">
        <v>33333</v>
      </c>
      <c r="J6" s="22">
        <v>33333</v>
      </c>
      <c r="K6" s="22">
        <v>33333</v>
      </c>
      <c r="L6" s="22">
        <v>33333</v>
      </c>
      <c r="M6" s="22">
        <v>33333</v>
      </c>
      <c r="N6" s="27">
        <f t="shared" si="0"/>
        <v>399996</v>
      </c>
      <c r="O6" s="113">
        <f>Revenue!E6</f>
        <v>400000</v>
      </c>
    </row>
    <row r="7" spans="1:15" x14ac:dyDescent="0.35">
      <c r="A7" s="17" t="s">
        <v>17</v>
      </c>
      <c r="B7" s="18">
        <v>25000</v>
      </c>
      <c r="C7" s="18">
        <v>25000</v>
      </c>
      <c r="D7" s="18">
        <v>25000</v>
      </c>
      <c r="E7" s="18">
        <v>25000</v>
      </c>
      <c r="F7" s="18">
        <v>25000</v>
      </c>
      <c r="G7" s="18">
        <v>25000</v>
      </c>
      <c r="H7" s="18">
        <v>25000</v>
      </c>
      <c r="I7" s="18">
        <v>25000</v>
      </c>
      <c r="J7" s="18">
        <v>25000</v>
      </c>
      <c r="K7" s="18">
        <v>25000</v>
      </c>
      <c r="L7" s="18">
        <v>25000</v>
      </c>
      <c r="M7" s="18">
        <v>25000</v>
      </c>
      <c r="N7" s="27">
        <f t="shared" si="0"/>
        <v>300000</v>
      </c>
      <c r="O7" s="113">
        <f>Revenue!E7</f>
        <v>300000</v>
      </c>
    </row>
    <row r="8" spans="1:15" x14ac:dyDescent="0.35">
      <c r="A8" s="21" t="s">
        <v>18</v>
      </c>
      <c r="B8" s="22">
        <v>208333</v>
      </c>
      <c r="C8" s="22">
        <v>208333</v>
      </c>
      <c r="D8" s="22">
        <v>208333</v>
      </c>
      <c r="E8" s="22">
        <v>208333</v>
      </c>
      <c r="F8" s="22">
        <v>208333</v>
      </c>
      <c r="G8" s="22">
        <v>208333</v>
      </c>
      <c r="H8" s="22">
        <v>208333</v>
      </c>
      <c r="I8" s="22">
        <v>208333</v>
      </c>
      <c r="J8" s="22">
        <v>208333</v>
      </c>
      <c r="K8" s="22">
        <v>208333</v>
      </c>
      <c r="L8" s="22">
        <v>208333</v>
      </c>
      <c r="M8" s="22">
        <v>208333</v>
      </c>
      <c r="N8" s="27">
        <f t="shared" si="0"/>
        <v>2499996</v>
      </c>
      <c r="O8" s="113">
        <f>Revenue!E8</f>
        <v>2500000</v>
      </c>
    </row>
    <row r="9" spans="1:15" x14ac:dyDescent="0.35">
      <c r="A9" s="17" t="s">
        <v>19</v>
      </c>
      <c r="B9" s="18">
        <v>37500</v>
      </c>
      <c r="C9" s="18">
        <v>37500</v>
      </c>
      <c r="D9" s="18">
        <v>37500</v>
      </c>
      <c r="E9" s="18">
        <v>37500</v>
      </c>
      <c r="F9" s="18">
        <v>37500</v>
      </c>
      <c r="G9" s="18">
        <v>37500</v>
      </c>
      <c r="H9" s="18">
        <v>37500</v>
      </c>
      <c r="I9" s="18">
        <v>37500</v>
      </c>
      <c r="J9" s="18">
        <v>37500</v>
      </c>
      <c r="K9" s="18">
        <v>37500</v>
      </c>
      <c r="L9" s="18">
        <v>37500</v>
      </c>
      <c r="M9" s="18">
        <v>37500</v>
      </c>
      <c r="N9" s="27">
        <f t="shared" si="0"/>
        <v>450000</v>
      </c>
      <c r="O9" s="113">
        <f>Revenue!E9</f>
        <v>450000</v>
      </c>
    </row>
    <row r="10" spans="1:15" x14ac:dyDescent="0.35">
      <c r="A10" s="21" t="s">
        <v>20</v>
      </c>
      <c r="B10" s="22">
        <v>25000</v>
      </c>
      <c r="C10" s="22">
        <v>25000</v>
      </c>
      <c r="D10" s="22">
        <v>25000</v>
      </c>
      <c r="E10" s="22">
        <v>25000</v>
      </c>
      <c r="F10" s="22">
        <v>25000</v>
      </c>
      <c r="G10" s="22">
        <v>25000</v>
      </c>
      <c r="H10" s="22">
        <v>25000</v>
      </c>
      <c r="I10" s="22">
        <v>25000</v>
      </c>
      <c r="J10" s="22">
        <v>25000</v>
      </c>
      <c r="K10" s="22">
        <v>25000</v>
      </c>
      <c r="L10" s="22">
        <v>25000</v>
      </c>
      <c r="M10" s="22">
        <v>25000</v>
      </c>
      <c r="N10" s="27">
        <f t="shared" si="0"/>
        <v>300000</v>
      </c>
      <c r="O10" s="113">
        <f>Revenue!E10</f>
        <v>300000</v>
      </c>
    </row>
    <row r="11" spans="1:15" x14ac:dyDescent="0.35">
      <c r="A11" s="25" t="s">
        <v>2</v>
      </c>
      <c r="B11" s="27">
        <f t="shared" ref="B11:M11" si="1">SUM(B5:B10)</f>
        <v>362499</v>
      </c>
      <c r="C11" s="27">
        <f t="shared" si="1"/>
        <v>362499</v>
      </c>
      <c r="D11" s="27">
        <f t="shared" si="1"/>
        <v>362499</v>
      </c>
      <c r="E11" s="27">
        <f t="shared" si="1"/>
        <v>362499</v>
      </c>
      <c r="F11" s="27">
        <f t="shared" si="1"/>
        <v>362499</v>
      </c>
      <c r="G11" s="27">
        <f t="shared" si="1"/>
        <v>362499</v>
      </c>
      <c r="H11" s="27">
        <f t="shared" si="1"/>
        <v>362499</v>
      </c>
      <c r="I11" s="27">
        <f t="shared" si="1"/>
        <v>362499</v>
      </c>
      <c r="J11" s="27">
        <f t="shared" si="1"/>
        <v>362499</v>
      </c>
      <c r="K11" s="27">
        <f t="shared" si="1"/>
        <v>362499</v>
      </c>
      <c r="L11" s="27">
        <f t="shared" si="1"/>
        <v>362499</v>
      </c>
      <c r="M11" s="27">
        <f t="shared" si="1"/>
        <v>362499</v>
      </c>
      <c r="N11" s="27">
        <f t="shared" si="0"/>
        <v>4349988</v>
      </c>
      <c r="O11" s="27">
        <f>Revenue!E11</f>
        <v>4350000</v>
      </c>
    </row>
    <row r="12" spans="1:15" x14ac:dyDescent="0.35">
      <c r="A12" s="114" t="s">
        <v>84</v>
      </c>
      <c r="B12" s="115">
        <f t="shared" ref="B12:M12" si="2">B11*0.2</f>
        <v>72499.8</v>
      </c>
      <c r="C12" s="115">
        <f t="shared" si="2"/>
        <v>72499.8</v>
      </c>
      <c r="D12" s="115">
        <f t="shared" si="2"/>
        <v>72499.8</v>
      </c>
      <c r="E12" s="115">
        <f t="shared" si="2"/>
        <v>72499.8</v>
      </c>
      <c r="F12" s="115">
        <f t="shared" si="2"/>
        <v>72499.8</v>
      </c>
      <c r="G12" s="115">
        <f t="shared" si="2"/>
        <v>72499.8</v>
      </c>
      <c r="H12" s="115">
        <f t="shared" si="2"/>
        <v>72499.8</v>
      </c>
      <c r="I12" s="115">
        <f t="shared" si="2"/>
        <v>72499.8</v>
      </c>
      <c r="J12" s="115">
        <f t="shared" si="2"/>
        <v>72499.8</v>
      </c>
      <c r="K12" s="115">
        <f t="shared" si="2"/>
        <v>72499.8</v>
      </c>
      <c r="L12" s="115">
        <f t="shared" si="2"/>
        <v>72499.8</v>
      </c>
      <c r="M12" s="115">
        <f t="shared" si="2"/>
        <v>72499.8</v>
      </c>
      <c r="N12" s="116">
        <f t="shared" si="0"/>
        <v>869997.60000000021</v>
      </c>
      <c r="O12" s="117">
        <f>Revenue!F11</f>
        <v>870000</v>
      </c>
    </row>
    <row r="13" spans="1:15" x14ac:dyDescent="0.35">
      <c r="A13" s="52" t="s">
        <v>3</v>
      </c>
      <c r="B13" s="53">
        <f t="shared" ref="B13:M13" si="3">B11-B12</f>
        <v>289999.2</v>
      </c>
      <c r="C13" s="53">
        <f t="shared" si="3"/>
        <v>289999.2</v>
      </c>
      <c r="D13" s="53">
        <f t="shared" si="3"/>
        <v>289999.2</v>
      </c>
      <c r="E13" s="53">
        <f t="shared" si="3"/>
        <v>289999.2</v>
      </c>
      <c r="F13" s="53">
        <f t="shared" si="3"/>
        <v>289999.2</v>
      </c>
      <c r="G13" s="53">
        <f t="shared" si="3"/>
        <v>289999.2</v>
      </c>
      <c r="H13" s="53">
        <f t="shared" si="3"/>
        <v>289999.2</v>
      </c>
      <c r="I13" s="53">
        <f t="shared" si="3"/>
        <v>289999.2</v>
      </c>
      <c r="J13" s="53">
        <f t="shared" si="3"/>
        <v>289999.2</v>
      </c>
      <c r="K13" s="53">
        <f t="shared" si="3"/>
        <v>289999.2</v>
      </c>
      <c r="L13" s="53">
        <f t="shared" si="3"/>
        <v>289999.2</v>
      </c>
      <c r="M13" s="53">
        <f t="shared" si="3"/>
        <v>289999.2</v>
      </c>
      <c r="N13" s="53">
        <f t="shared" si="0"/>
        <v>3479990.4000000008</v>
      </c>
      <c r="O13" s="53">
        <f>Revenue!G11</f>
        <v>3480000</v>
      </c>
    </row>
    <row r="15" spans="1:15" ht="18" customHeight="1" x14ac:dyDescent="0.35">
      <c r="A15" s="169" t="s">
        <v>136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</row>
    <row r="16" spans="1:15" x14ac:dyDescent="0.35">
      <c r="A16" s="17" t="s">
        <v>137</v>
      </c>
      <c r="B16" s="18">
        <f>(Expenses!C5+Expenses!C6)/12</f>
        <v>120000</v>
      </c>
      <c r="C16" s="18">
        <f>(Expenses!C5+Expenses!C6)/12</f>
        <v>120000</v>
      </c>
      <c r="D16" s="18">
        <f>(Expenses!C5+Expenses!C6)/12</f>
        <v>120000</v>
      </c>
      <c r="E16" s="18">
        <f>(Expenses!C5+Expenses!C6)/12</f>
        <v>120000</v>
      </c>
      <c r="F16" s="18">
        <f>(Expenses!C5+Expenses!C6)/12</f>
        <v>120000</v>
      </c>
      <c r="G16" s="18">
        <f>(Expenses!C5+Expenses!C6)/12</f>
        <v>120000</v>
      </c>
      <c r="H16" s="18">
        <f>(Expenses!C5+Expenses!C6)/12</f>
        <v>120000</v>
      </c>
      <c r="I16" s="18">
        <f>(Expenses!C5+Expenses!C6)/12</f>
        <v>120000</v>
      </c>
      <c r="J16" s="18">
        <f>(Expenses!C5+Expenses!C6)/12</f>
        <v>120000</v>
      </c>
      <c r="K16" s="18">
        <f>(Expenses!C5+Expenses!C6)/12</f>
        <v>120000</v>
      </c>
      <c r="L16" s="18">
        <f>(Expenses!C5+Expenses!C6)/12</f>
        <v>120000</v>
      </c>
      <c r="M16" s="18">
        <f>(Expenses!C5+Expenses!C6)/12</f>
        <v>120000</v>
      </c>
      <c r="N16" s="27">
        <f t="shared" ref="N16:N23" si="4">SUM(B16:M16)</f>
        <v>1440000</v>
      </c>
      <c r="O16" s="113">
        <f>(Expenses!C5+Expenses!C6)</f>
        <v>1440000</v>
      </c>
    </row>
    <row r="17" spans="1:15" x14ac:dyDescent="0.35">
      <c r="A17" s="21" t="s">
        <v>27</v>
      </c>
      <c r="B17" s="22">
        <f>Expenses!C7/12</f>
        <v>20000</v>
      </c>
      <c r="C17" s="22">
        <f>Expenses!C7/12</f>
        <v>20000</v>
      </c>
      <c r="D17" s="22">
        <f>Expenses!C7/12</f>
        <v>20000</v>
      </c>
      <c r="E17" s="22">
        <f>Expenses!C7/12</f>
        <v>20000</v>
      </c>
      <c r="F17" s="22">
        <f>Expenses!C7/12</f>
        <v>20000</v>
      </c>
      <c r="G17" s="22">
        <f>Expenses!C7/12</f>
        <v>20000</v>
      </c>
      <c r="H17" s="22">
        <f>Expenses!C7/12</f>
        <v>20000</v>
      </c>
      <c r="I17" s="22">
        <f>Expenses!C7/12</f>
        <v>20000</v>
      </c>
      <c r="J17" s="22">
        <f>Expenses!C7/12</f>
        <v>20000</v>
      </c>
      <c r="K17" s="22">
        <f>Expenses!C7/12</f>
        <v>20000</v>
      </c>
      <c r="L17" s="22">
        <f>Expenses!C7/12</f>
        <v>20000</v>
      </c>
      <c r="M17" s="22">
        <f>Expenses!C7/12</f>
        <v>20000</v>
      </c>
      <c r="N17" s="27">
        <f t="shared" si="4"/>
        <v>240000</v>
      </c>
      <c r="O17" s="113">
        <f>Expenses!C7</f>
        <v>240000</v>
      </c>
    </row>
    <row r="18" spans="1:15" x14ac:dyDescent="0.35">
      <c r="A18" s="17" t="s">
        <v>28</v>
      </c>
      <c r="B18" s="18">
        <f>Expenses!C8/12</f>
        <v>30000</v>
      </c>
      <c r="C18" s="18">
        <f>Expenses!C8/12</f>
        <v>30000</v>
      </c>
      <c r="D18" s="18">
        <f>Expenses!C8/12</f>
        <v>30000</v>
      </c>
      <c r="E18" s="18">
        <f>Expenses!C8/12</f>
        <v>30000</v>
      </c>
      <c r="F18" s="18">
        <f>Expenses!C8/12</f>
        <v>30000</v>
      </c>
      <c r="G18" s="18">
        <f>Expenses!C8/12</f>
        <v>30000</v>
      </c>
      <c r="H18" s="18">
        <f>Expenses!C8/12</f>
        <v>30000</v>
      </c>
      <c r="I18" s="18">
        <f>Expenses!C8/12</f>
        <v>30000</v>
      </c>
      <c r="J18" s="18">
        <f>Expenses!C8/12</f>
        <v>30000</v>
      </c>
      <c r="K18" s="18">
        <f>Expenses!C8/12</f>
        <v>30000</v>
      </c>
      <c r="L18" s="18">
        <f>Expenses!C8/12</f>
        <v>30000</v>
      </c>
      <c r="M18" s="18">
        <f>Expenses!C8/12</f>
        <v>30000</v>
      </c>
      <c r="N18" s="27">
        <f t="shared" si="4"/>
        <v>360000</v>
      </c>
      <c r="O18" s="113">
        <f>Expenses!C8</f>
        <v>360000</v>
      </c>
    </row>
    <row r="19" spans="1:15" x14ac:dyDescent="0.35">
      <c r="A19" s="21" t="s">
        <v>29</v>
      </c>
      <c r="B19" s="54">
        <f>Expenses!C9</f>
        <v>200000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7">
        <f t="shared" si="4"/>
        <v>200000</v>
      </c>
      <c r="O19" s="113">
        <f>Expenses!C9</f>
        <v>200000</v>
      </c>
    </row>
    <row r="20" spans="1:15" x14ac:dyDescent="0.35">
      <c r="A20" s="17" t="s">
        <v>138</v>
      </c>
      <c r="B20" s="118">
        <f t="shared" ref="B20:M20" si="5">B12</f>
        <v>72499.8</v>
      </c>
      <c r="C20" s="118">
        <f t="shared" si="5"/>
        <v>72499.8</v>
      </c>
      <c r="D20" s="118">
        <f t="shared" si="5"/>
        <v>72499.8</v>
      </c>
      <c r="E20" s="118">
        <f t="shared" si="5"/>
        <v>72499.8</v>
      </c>
      <c r="F20" s="118">
        <f t="shared" si="5"/>
        <v>72499.8</v>
      </c>
      <c r="G20" s="118">
        <f t="shared" si="5"/>
        <v>72499.8</v>
      </c>
      <c r="H20" s="118">
        <f t="shared" si="5"/>
        <v>72499.8</v>
      </c>
      <c r="I20" s="118">
        <f t="shared" si="5"/>
        <v>72499.8</v>
      </c>
      <c r="J20" s="118">
        <f t="shared" si="5"/>
        <v>72499.8</v>
      </c>
      <c r="K20" s="118">
        <f t="shared" si="5"/>
        <v>72499.8</v>
      </c>
      <c r="L20" s="118">
        <f t="shared" si="5"/>
        <v>72499.8</v>
      </c>
      <c r="M20" s="118">
        <f t="shared" si="5"/>
        <v>72499.8</v>
      </c>
      <c r="N20" s="27">
        <f t="shared" si="4"/>
        <v>869997.60000000021</v>
      </c>
      <c r="O20" s="113">
        <f>Expenses!C10</f>
        <v>870000</v>
      </c>
    </row>
    <row r="21" spans="1:15" x14ac:dyDescent="0.35">
      <c r="A21" s="21" t="s">
        <v>31</v>
      </c>
      <c r="B21" s="22">
        <f>Expenses!C11/12</f>
        <v>25000</v>
      </c>
      <c r="C21" s="22">
        <f>Expenses!C11/12</f>
        <v>25000</v>
      </c>
      <c r="D21" s="22">
        <f>Expenses!C11/12</f>
        <v>25000</v>
      </c>
      <c r="E21" s="22">
        <f>Expenses!C11/12</f>
        <v>25000</v>
      </c>
      <c r="F21" s="22">
        <f>Expenses!C11/12</f>
        <v>25000</v>
      </c>
      <c r="G21" s="22">
        <f>Expenses!C11/12</f>
        <v>25000</v>
      </c>
      <c r="H21" s="22">
        <f>Expenses!C11/12</f>
        <v>25000</v>
      </c>
      <c r="I21" s="22">
        <f>Expenses!C11/12</f>
        <v>25000</v>
      </c>
      <c r="J21" s="22">
        <f>Expenses!C11/12</f>
        <v>25000</v>
      </c>
      <c r="K21" s="22">
        <f>Expenses!C11/12</f>
        <v>25000</v>
      </c>
      <c r="L21" s="22">
        <f>Expenses!C11/12</f>
        <v>25000</v>
      </c>
      <c r="M21" s="22">
        <f>Expenses!C11/12</f>
        <v>25000</v>
      </c>
      <c r="N21" s="27">
        <f t="shared" si="4"/>
        <v>300000</v>
      </c>
      <c r="O21" s="113">
        <f>Expenses!C11</f>
        <v>300000</v>
      </c>
    </row>
    <row r="22" spans="1:15" x14ac:dyDescent="0.35">
      <c r="A22" s="17" t="s">
        <v>139</v>
      </c>
      <c r="B22" s="18">
        <f>Expenses!C12/12</f>
        <v>8333.3333333333339</v>
      </c>
      <c r="C22" s="18">
        <f>Expenses!C12/12</f>
        <v>8333.3333333333339</v>
      </c>
      <c r="D22" s="18">
        <f>Expenses!C12/12</f>
        <v>8333.3333333333339</v>
      </c>
      <c r="E22" s="18">
        <f>Expenses!C12/12</f>
        <v>8333.3333333333339</v>
      </c>
      <c r="F22" s="18">
        <f>Expenses!C12/12</f>
        <v>8333.3333333333339</v>
      </c>
      <c r="G22" s="18">
        <f>Expenses!C12/12</f>
        <v>8333.3333333333339</v>
      </c>
      <c r="H22" s="18">
        <f>Expenses!C12/12</f>
        <v>8333.3333333333339</v>
      </c>
      <c r="I22" s="18">
        <f>Expenses!C12/12</f>
        <v>8333.3333333333339</v>
      </c>
      <c r="J22" s="18">
        <f>Expenses!C12/12</f>
        <v>8333.3333333333339</v>
      </c>
      <c r="K22" s="18">
        <f>Expenses!C12/12</f>
        <v>8333.3333333333339</v>
      </c>
      <c r="L22" s="18">
        <f>Expenses!C12/12</f>
        <v>8333.3333333333339</v>
      </c>
      <c r="M22" s="18">
        <f>Expenses!C12/12</f>
        <v>8333.3333333333339</v>
      </c>
      <c r="N22" s="27">
        <f t="shared" si="4"/>
        <v>99999.999999999985</v>
      </c>
      <c r="O22" s="113">
        <f>Expenses!C12</f>
        <v>100000</v>
      </c>
    </row>
    <row r="23" spans="1:15" x14ac:dyDescent="0.35">
      <c r="A23" s="119" t="s">
        <v>140</v>
      </c>
      <c r="B23" s="120">
        <f t="shared" ref="B23:M23" si="6">SUM(B16:B22)</f>
        <v>475833.1333333333</v>
      </c>
      <c r="C23" s="120">
        <f t="shared" si="6"/>
        <v>275833.1333333333</v>
      </c>
      <c r="D23" s="120">
        <f t="shared" si="6"/>
        <v>275833.1333333333</v>
      </c>
      <c r="E23" s="120">
        <f t="shared" si="6"/>
        <v>275833.1333333333</v>
      </c>
      <c r="F23" s="120">
        <f t="shared" si="6"/>
        <v>275833.1333333333</v>
      </c>
      <c r="G23" s="120">
        <f t="shared" si="6"/>
        <v>275833.1333333333</v>
      </c>
      <c r="H23" s="120">
        <f t="shared" si="6"/>
        <v>275833.1333333333</v>
      </c>
      <c r="I23" s="120">
        <f t="shared" si="6"/>
        <v>275833.1333333333</v>
      </c>
      <c r="J23" s="120">
        <f t="shared" si="6"/>
        <v>275833.1333333333</v>
      </c>
      <c r="K23" s="120">
        <f t="shared" si="6"/>
        <v>275833.1333333333</v>
      </c>
      <c r="L23" s="120">
        <f t="shared" si="6"/>
        <v>275833.1333333333</v>
      </c>
      <c r="M23" s="120">
        <f t="shared" si="6"/>
        <v>275833.1333333333</v>
      </c>
      <c r="N23" s="120">
        <f t="shared" si="4"/>
        <v>3509997.5999999996</v>
      </c>
      <c r="O23" s="120">
        <f>Expenses!C13</f>
        <v>3510000</v>
      </c>
    </row>
    <row r="24" spans="1:15" ht="6" customHeight="1" x14ac:dyDescent="0.35"/>
    <row r="25" spans="1:15" x14ac:dyDescent="0.35">
      <c r="A25" s="45" t="s">
        <v>141</v>
      </c>
      <c r="B25" s="55">
        <f t="shared" ref="B25:M25" si="7">B13-B23</f>
        <v>-185833.93333333329</v>
      </c>
      <c r="C25" s="55">
        <f t="shared" si="7"/>
        <v>14166.066666666709</v>
      </c>
      <c r="D25" s="55">
        <f t="shared" si="7"/>
        <v>14166.066666666709</v>
      </c>
      <c r="E25" s="55">
        <f t="shared" si="7"/>
        <v>14166.066666666709</v>
      </c>
      <c r="F25" s="55">
        <f t="shared" si="7"/>
        <v>14166.066666666709</v>
      </c>
      <c r="G25" s="55">
        <f t="shared" si="7"/>
        <v>14166.066666666709</v>
      </c>
      <c r="H25" s="55">
        <f t="shared" si="7"/>
        <v>14166.066666666709</v>
      </c>
      <c r="I25" s="55">
        <f t="shared" si="7"/>
        <v>14166.066666666709</v>
      </c>
      <c r="J25" s="55">
        <f t="shared" si="7"/>
        <v>14166.066666666709</v>
      </c>
      <c r="K25" s="55">
        <f t="shared" si="7"/>
        <v>14166.066666666709</v>
      </c>
      <c r="L25" s="55">
        <f t="shared" si="7"/>
        <v>14166.066666666709</v>
      </c>
      <c r="M25" s="55">
        <f t="shared" si="7"/>
        <v>14166.066666666709</v>
      </c>
      <c r="N25" s="55">
        <f>SUM(B25:M25)</f>
        <v>-30007.199999999488</v>
      </c>
    </row>
    <row r="26" spans="1:15" x14ac:dyDescent="0.35">
      <c r="A26" s="56" t="s">
        <v>142</v>
      </c>
      <c r="B26" s="57">
        <f>B25</f>
        <v>-185833.93333333329</v>
      </c>
      <c r="C26" s="57">
        <f t="shared" ref="C26:M26" si="8">B26+C25</f>
        <v>-171667.86666666658</v>
      </c>
      <c r="D26" s="57">
        <f t="shared" si="8"/>
        <v>-157501.79999999987</v>
      </c>
      <c r="E26" s="57">
        <f t="shared" si="8"/>
        <v>-143335.73333333316</v>
      </c>
      <c r="F26" s="57">
        <f t="shared" si="8"/>
        <v>-129169.66666666645</v>
      </c>
      <c r="G26" s="57">
        <f t="shared" si="8"/>
        <v>-115003.59999999974</v>
      </c>
      <c r="H26" s="57">
        <f t="shared" si="8"/>
        <v>-100837.53333333303</v>
      </c>
      <c r="I26" s="57">
        <f t="shared" si="8"/>
        <v>-86671.466666666325</v>
      </c>
      <c r="J26" s="57">
        <f t="shared" si="8"/>
        <v>-72505.399999999616</v>
      </c>
      <c r="K26" s="57">
        <f t="shared" si="8"/>
        <v>-58339.333333332906</v>
      </c>
      <c r="L26" s="57">
        <f t="shared" si="8"/>
        <v>-44173.266666666197</v>
      </c>
      <c r="M26" s="57">
        <f t="shared" si="8"/>
        <v>-30007.199999999488</v>
      </c>
      <c r="N26" s="57">
        <f>M26</f>
        <v>-30007.199999999488</v>
      </c>
    </row>
    <row r="28" spans="1:15" ht="8" customHeight="1" x14ac:dyDescent="0.35"/>
    <row r="29" spans="1:15" ht="18" customHeight="1" x14ac:dyDescent="0.35">
      <c r="A29" s="169" t="s">
        <v>143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</row>
    <row r="30" spans="1:15" x14ac:dyDescent="0.35">
      <c r="A30" s="16" t="s">
        <v>8</v>
      </c>
      <c r="B30" s="16" t="s">
        <v>49</v>
      </c>
      <c r="C30" s="16" t="s">
        <v>10</v>
      </c>
      <c r="D30" s="16" t="s">
        <v>144</v>
      </c>
      <c r="E30" s="177" t="s">
        <v>145</v>
      </c>
      <c r="F30" s="131"/>
      <c r="G30" s="131"/>
      <c r="H30" s="131"/>
      <c r="I30" s="131"/>
      <c r="J30" s="131"/>
      <c r="K30" s="131"/>
      <c r="L30" s="131"/>
      <c r="M30" s="131"/>
      <c r="N30" s="131"/>
      <c r="O30" s="127"/>
    </row>
    <row r="31" spans="1:15" x14ac:dyDescent="0.35">
      <c r="A31" s="17" t="s">
        <v>15</v>
      </c>
      <c r="B31" s="64" t="s">
        <v>54</v>
      </c>
      <c r="C31" s="121">
        <v>100</v>
      </c>
      <c r="D31" s="121">
        <v>4</v>
      </c>
      <c r="E31" s="174" t="s">
        <v>146</v>
      </c>
      <c r="F31" s="131"/>
      <c r="G31" s="131"/>
      <c r="H31" s="131"/>
      <c r="I31" s="131"/>
      <c r="J31" s="131"/>
      <c r="K31" s="131"/>
      <c r="L31" s="131"/>
      <c r="M31" s="131"/>
      <c r="N31" s="131"/>
      <c r="O31" s="127"/>
    </row>
    <row r="32" spans="1:15" x14ac:dyDescent="0.35">
      <c r="A32" s="21" t="s">
        <v>16</v>
      </c>
      <c r="B32" s="66" t="s">
        <v>54</v>
      </c>
      <c r="C32" s="122">
        <v>100</v>
      </c>
      <c r="D32" s="122">
        <v>4</v>
      </c>
      <c r="E32" s="175" t="s">
        <v>146</v>
      </c>
      <c r="F32" s="131"/>
      <c r="G32" s="131"/>
      <c r="H32" s="131"/>
      <c r="I32" s="131"/>
      <c r="J32" s="131"/>
      <c r="K32" s="131"/>
      <c r="L32" s="131"/>
      <c r="M32" s="131"/>
      <c r="N32" s="131"/>
      <c r="O32" s="127"/>
    </row>
    <row r="33" spans="1:15" x14ac:dyDescent="0.35">
      <c r="A33" s="17" t="s">
        <v>17</v>
      </c>
      <c r="B33" s="64" t="s">
        <v>54</v>
      </c>
      <c r="C33" s="121">
        <v>50</v>
      </c>
      <c r="D33" s="121">
        <v>4</v>
      </c>
      <c r="E33" s="174" t="s">
        <v>147</v>
      </c>
      <c r="F33" s="131"/>
      <c r="G33" s="131"/>
      <c r="H33" s="131"/>
      <c r="I33" s="131"/>
      <c r="J33" s="131"/>
      <c r="K33" s="131"/>
      <c r="L33" s="131"/>
      <c r="M33" s="131"/>
      <c r="N33" s="131"/>
      <c r="O33" s="127"/>
    </row>
    <row r="34" spans="1:15" x14ac:dyDescent="0.35">
      <c r="A34" s="21" t="s">
        <v>18</v>
      </c>
      <c r="B34" s="66" t="s">
        <v>56</v>
      </c>
      <c r="C34" s="122">
        <v>100</v>
      </c>
      <c r="D34" s="122">
        <v>2</v>
      </c>
      <c r="E34" s="175" t="s">
        <v>148</v>
      </c>
      <c r="F34" s="131"/>
      <c r="G34" s="131"/>
      <c r="H34" s="131"/>
      <c r="I34" s="131"/>
      <c r="J34" s="131"/>
      <c r="K34" s="131"/>
      <c r="L34" s="131"/>
      <c r="M34" s="131"/>
      <c r="N34" s="131"/>
      <c r="O34" s="127"/>
    </row>
    <row r="35" spans="1:15" x14ac:dyDescent="0.35">
      <c r="A35" s="17" t="s">
        <v>19</v>
      </c>
      <c r="B35" s="64" t="s">
        <v>56</v>
      </c>
      <c r="C35" s="121">
        <v>50</v>
      </c>
      <c r="D35" s="121">
        <v>2</v>
      </c>
      <c r="E35" s="174" t="s">
        <v>149</v>
      </c>
      <c r="F35" s="131"/>
      <c r="G35" s="131"/>
      <c r="H35" s="131"/>
      <c r="I35" s="131"/>
      <c r="J35" s="131"/>
      <c r="K35" s="131"/>
      <c r="L35" s="131"/>
      <c r="M35" s="131"/>
      <c r="N35" s="131"/>
      <c r="O35" s="127"/>
    </row>
    <row r="36" spans="1:15" x14ac:dyDescent="0.35">
      <c r="A36" s="21" t="s">
        <v>20</v>
      </c>
      <c r="B36" s="66" t="s">
        <v>54</v>
      </c>
      <c r="C36" s="122">
        <v>20</v>
      </c>
      <c r="D36" s="122">
        <v>4</v>
      </c>
      <c r="E36" s="175" t="s">
        <v>150</v>
      </c>
      <c r="F36" s="131"/>
      <c r="G36" s="131"/>
      <c r="H36" s="131"/>
      <c r="I36" s="131"/>
      <c r="J36" s="131"/>
      <c r="K36" s="131"/>
      <c r="L36" s="131"/>
      <c r="M36" s="131"/>
      <c r="N36" s="131"/>
      <c r="O36" s="127"/>
    </row>
  </sheetData>
  <mergeCells count="12">
    <mergeCell ref="E36:O36"/>
    <mergeCell ref="A3:O3"/>
    <mergeCell ref="E35:O35"/>
    <mergeCell ref="E30:O30"/>
    <mergeCell ref="A1:O1"/>
    <mergeCell ref="E33:O33"/>
    <mergeCell ref="E32:O32"/>
    <mergeCell ref="A15:O15"/>
    <mergeCell ref="A29:O29"/>
    <mergeCell ref="E31:O31"/>
    <mergeCell ref="E34:O34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"/>
  <sheetViews>
    <sheetView showGridLines="0" workbookViewId="0">
      <selection sqref="A1:D1"/>
    </sheetView>
  </sheetViews>
  <sheetFormatPr defaultRowHeight="14.5" x14ac:dyDescent="0.35"/>
  <cols>
    <col min="1" max="1" width="38" customWidth="1"/>
    <col min="2" max="2" width="22" customWidth="1"/>
    <col min="3" max="3" width="42" customWidth="1"/>
  </cols>
  <sheetData>
    <row r="1" spans="1:4" ht="28" customHeight="1" x14ac:dyDescent="0.35">
      <c r="A1" s="170" t="s">
        <v>151</v>
      </c>
      <c r="B1" s="129"/>
      <c r="C1" s="129"/>
      <c r="D1" s="129"/>
    </row>
    <row r="3" spans="1:4" ht="20" customHeight="1" x14ac:dyDescent="0.35">
      <c r="A3" s="128" t="s">
        <v>152</v>
      </c>
      <c r="B3" s="129"/>
      <c r="C3" s="129"/>
      <c r="D3" s="129"/>
    </row>
    <row r="4" spans="1:4" ht="18" customHeight="1" x14ac:dyDescent="0.35">
      <c r="A4" s="16" t="s">
        <v>78</v>
      </c>
      <c r="B4" s="16" t="s">
        <v>79</v>
      </c>
      <c r="C4" s="16" t="s">
        <v>153</v>
      </c>
    </row>
    <row r="5" spans="1:4" ht="18" customHeight="1" x14ac:dyDescent="0.35">
      <c r="A5" s="169" t="s">
        <v>154</v>
      </c>
      <c r="B5" s="131"/>
      <c r="C5" s="131"/>
      <c r="D5" s="127"/>
    </row>
    <row r="6" spans="1:4" x14ac:dyDescent="0.35">
      <c r="A6" s="17" t="s">
        <v>26</v>
      </c>
      <c r="B6" s="18">
        <f>Expenses!C5+Expenses!C6</f>
        <v>1440000</v>
      </c>
      <c r="C6" s="39" t="s">
        <v>155</v>
      </c>
    </row>
    <row r="7" spans="1:4" x14ac:dyDescent="0.35">
      <c r="A7" s="21" t="s">
        <v>27</v>
      </c>
      <c r="B7" s="22">
        <f>Expenses!C7</f>
        <v>240000</v>
      </c>
      <c r="C7" s="40" t="s">
        <v>156</v>
      </c>
    </row>
    <row r="8" spans="1:4" x14ac:dyDescent="0.35">
      <c r="A8" s="17" t="s">
        <v>28</v>
      </c>
      <c r="B8" s="18">
        <f>Expenses!C8</f>
        <v>360000</v>
      </c>
      <c r="C8" s="39" t="s">
        <v>157</v>
      </c>
    </row>
    <row r="9" spans="1:4" x14ac:dyDescent="0.35">
      <c r="A9" s="21" t="s">
        <v>29</v>
      </c>
      <c r="B9" s="22">
        <f>Expenses!C9</f>
        <v>200000</v>
      </c>
      <c r="C9" s="40" t="s">
        <v>158</v>
      </c>
    </row>
    <row r="10" spans="1:4" x14ac:dyDescent="0.35">
      <c r="A10" s="17" t="s">
        <v>31</v>
      </c>
      <c r="B10" s="18">
        <f>Expenses!C11</f>
        <v>300000</v>
      </c>
      <c r="C10" s="39" t="s">
        <v>159</v>
      </c>
    </row>
    <row r="11" spans="1:4" x14ac:dyDescent="0.35">
      <c r="A11" s="21" t="s">
        <v>73</v>
      </c>
      <c r="B11" s="22">
        <f>Expenses!C12</f>
        <v>100000</v>
      </c>
      <c r="C11" s="40" t="s">
        <v>160</v>
      </c>
    </row>
    <row r="12" spans="1:4" x14ac:dyDescent="0.35">
      <c r="A12" s="25" t="s">
        <v>161</v>
      </c>
      <c r="B12" s="27">
        <f>SUM(B6:B11)</f>
        <v>2640000</v>
      </c>
    </row>
    <row r="14" spans="1:4" ht="18" customHeight="1" x14ac:dyDescent="0.35">
      <c r="A14" s="169" t="s">
        <v>162</v>
      </c>
      <c r="B14" s="131"/>
      <c r="C14" s="131"/>
      <c r="D14" s="127"/>
    </row>
    <row r="15" spans="1:4" x14ac:dyDescent="0.35">
      <c r="A15" s="17" t="s">
        <v>70</v>
      </c>
      <c r="B15" s="18">
        <f>Expenses!C10</f>
        <v>870000</v>
      </c>
      <c r="C15" s="39" t="s">
        <v>163</v>
      </c>
    </row>
    <row r="17" spans="1:4" ht="18" customHeight="1" x14ac:dyDescent="0.35">
      <c r="A17" s="171" t="s">
        <v>164</v>
      </c>
      <c r="B17" s="131"/>
      <c r="C17" s="131"/>
      <c r="D17" s="127"/>
    </row>
    <row r="18" spans="1:4" x14ac:dyDescent="0.35">
      <c r="A18" s="21" t="s">
        <v>165</v>
      </c>
      <c r="B18" s="23">
        <f>Revenue!D13</f>
        <v>0</v>
      </c>
      <c r="C18" s="40" t="s">
        <v>166</v>
      </c>
    </row>
    <row r="19" spans="1:4" x14ac:dyDescent="0.35">
      <c r="A19" s="17" t="s">
        <v>167</v>
      </c>
      <c r="B19" s="18">
        <f>IF(Revenue!D13&gt;0,Revenue!E13/Revenue!D13,0)</f>
        <v>0</v>
      </c>
      <c r="C19" s="39" t="s">
        <v>168</v>
      </c>
    </row>
    <row r="20" spans="1:4" x14ac:dyDescent="0.35">
      <c r="A20" s="21" t="s">
        <v>169</v>
      </c>
      <c r="B20" s="22">
        <f>IF(Revenue!D13&gt;0,Expenses!C10/Revenue!D13,0)</f>
        <v>0</v>
      </c>
      <c r="C20" s="40" t="s">
        <v>170</v>
      </c>
    </row>
    <row r="21" spans="1:4" x14ac:dyDescent="0.35">
      <c r="A21" s="58" t="s">
        <v>171</v>
      </c>
      <c r="B21" s="59">
        <f>B19-B20</f>
        <v>0</v>
      </c>
      <c r="C21" s="39" t="s">
        <v>172</v>
      </c>
    </row>
    <row r="22" spans="1:4" x14ac:dyDescent="0.35">
      <c r="A22" s="45" t="s">
        <v>173</v>
      </c>
      <c r="B22" s="60" t="str">
        <f>IF(B21&gt;0,CEILING(B12/B21,1),"N/A")</f>
        <v>N/A</v>
      </c>
      <c r="C22" s="48" t="s">
        <v>174</v>
      </c>
    </row>
    <row r="23" spans="1:4" x14ac:dyDescent="0.35">
      <c r="A23" s="61" t="s">
        <v>175</v>
      </c>
      <c r="B23" s="62" t="e">
        <f>Revenue!D13-B22</f>
        <v>#VALUE!</v>
      </c>
      <c r="C23" s="51" t="s">
        <v>176</v>
      </c>
    </row>
    <row r="24" spans="1:4" x14ac:dyDescent="0.35">
      <c r="A24" s="45" t="s">
        <v>177</v>
      </c>
      <c r="B24" s="55" t="e">
        <f>B22*B19</f>
        <v>#VALUE!</v>
      </c>
      <c r="C24" s="48" t="s">
        <v>178</v>
      </c>
    </row>
    <row r="25" spans="1:4" x14ac:dyDescent="0.35">
      <c r="A25" s="61" t="s">
        <v>179</v>
      </c>
      <c r="B25" s="63">
        <f>IF(Revenue!E13&gt;0,(Revenue!E13-B24)/Revenue!E13,0)</f>
        <v>0</v>
      </c>
      <c r="C25" s="51" t="s">
        <v>180</v>
      </c>
    </row>
  </sheetData>
  <mergeCells count="5">
    <mergeCell ref="A1:D1"/>
    <mergeCell ref="A17:D17"/>
    <mergeCell ref="A5:D5"/>
    <mergeCell ref="A3:D3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showGridLines="0" workbookViewId="0">
      <selection sqref="A1:E1"/>
    </sheetView>
  </sheetViews>
  <sheetFormatPr defaultRowHeight="14.5" x14ac:dyDescent="0.35"/>
  <cols>
    <col min="1" max="1" width="36" customWidth="1"/>
    <col min="2" max="5" width="22" customWidth="1"/>
  </cols>
  <sheetData>
    <row r="1" spans="1:5" ht="28" customHeight="1" x14ac:dyDescent="0.35">
      <c r="A1" s="170" t="s">
        <v>181</v>
      </c>
      <c r="B1" s="129"/>
      <c r="C1" s="129"/>
      <c r="D1" s="129"/>
      <c r="E1" s="129"/>
    </row>
    <row r="3" spans="1:5" ht="20" customHeight="1" x14ac:dyDescent="0.35">
      <c r="A3" s="128" t="s">
        <v>182</v>
      </c>
      <c r="B3" s="129"/>
      <c r="C3" s="129"/>
      <c r="D3" s="129"/>
      <c r="E3" s="129"/>
    </row>
    <row r="5" spans="1:5" ht="18" customHeight="1" x14ac:dyDescent="0.35">
      <c r="A5" s="169" t="s">
        <v>183</v>
      </c>
      <c r="B5" s="131"/>
      <c r="C5" s="131"/>
      <c r="D5" s="131"/>
      <c r="E5" s="127"/>
    </row>
    <row r="6" spans="1:5" ht="18" customHeight="1" x14ac:dyDescent="0.35">
      <c r="A6" s="16" t="s">
        <v>184</v>
      </c>
      <c r="B6" s="16" t="s">
        <v>185</v>
      </c>
      <c r="C6" s="16" t="s">
        <v>186</v>
      </c>
      <c r="D6" s="16" t="s">
        <v>187</v>
      </c>
      <c r="E6" s="16" t="s">
        <v>61</v>
      </c>
    </row>
    <row r="7" spans="1:5" x14ac:dyDescent="0.35">
      <c r="A7" s="17" t="s">
        <v>188</v>
      </c>
      <c r="B7" s="64" t="s">
        <v>68</v>
      </c>
      <c r="C7" s="65">
        <v>0.2</v>
      </c>
      <c r="D7" s="65">
        <v>0.2</v>
      </c>
      <c r="E7" s="39" t="s">
        <v>189</v>
      </c>
    </row>
    <row r="8" spans="1:5" x14ac:dyDescent="0.35">
      <c r="A8" s="21" t="s">
        <v>190</v>
      </c>
      <c r="B8" s="66" t="s">
        <v>68</v>
      </c>
      <c r="C8" s="67">
        <v>0.05</v>
      </c>
      <c r="D8" s="67">
        <v>0.05</v>
      </c>
      <c r="E8" s="40" t="s">
        <v>191</v>
      </c>
    </row>
    <row r="9" spans="1:5" x14ac:dyDescent="0.35">
      <c r="A9" s="17" t="s">
        <v>192</v>
      </c>
      <c r="B9" s="64" t="s">
        <v>68</v>
      </c>
      <c r="C9" s="65">
        <v>0.1</v>
      </c>
      <c r="D9" s="65">
        <v>0.1</v>
      </c>
      <c r="E9" s="39" t="s">
        <v>193</v>
      </c>
    </row>
    <row r="10" spans="1:5" x14ac:dyDescent="0.35">
      <c r="A10" s="21" t="s">
        <v>194</v>
      </c>
      <c r="B10" s="66" t="s">
        <v>68</v>
      </c>
      <c r="C10" s="67">
        <v>0.05</v>
      </c>
      <c r="D10" s="67">
        <v>0.05</v>
      </c>
      <c r="E10" s="40" t="s">
        <v>195</v>
      </c>
    </row>
    <row r="12" spans="1:5" ht="18" customHeight="1" x14ac:dyDescent="0.35">
      <c r="A12" s="171" t="s">
        <v>196</v>
      </c>
      <c r="B12" s="131"/>
      <c r="C12" s="131"/>
      <c r="D12" s="131"/>
      <c r="E12" s="127"/>
    </row>
    <row r="13" spans="1:5" ht="18" customHeight="1" x14ac:dyDescent="0.35">
      <c r="A13" s="16" t="s">
        <v>197</v>
      </c>
      <c r="B13" s="16" t="s">
        <v>198</v>
      </c>
      <c r="C13" s="16" t="s">
        <v>199</v>
      </c>
      <c r="D13" s="16" t="s">
        <v>200</v>
      </c>
      <c r="E13" s="16" t="s">
        <v>201</v>
      </c>
    </row>
    <row r="14" spans="1:5" x14ac:dyDescent="0.35">
      <c r="A14" s="17" t="s">
        <v>202</v>
      </c>
      <c r="B14" s="19">
        <f>Revenue!D13</f>
        <v>0</v>
      </c>
      <c r="C14" s="19">
        <f>ROUND(B14*(1+C7),0)</f>
        <v>0</v>
      </c>
      <c r="D14" s="19">
        <f>ROUND(C14*(1+D7),0)</f>
        <v>0</v>
      </c>
      <c r="E14" s="19">
        <f>SUM(B14:D14)</f>
        <v>0</v>
      </c>
    </row>
    <row r="15" spans="1:5" x14ac:dyDescent="0.35">
      <c r="A15" s="21" t="s">
        <v>203</v>
      </c>
      <c r="B15" s="22">
        <f>IF(Revenue!D13&gt;0,Revenue!E13/Revenue!D13,0)</f>
        <v>0</v>
      </c>
      <c r="C15" s="22">
        <f>B15*(1+C8)</f>
        <v>0</v>
      </c>
      <c r="D15" s="22">
        <f>C15*(1+D8)</f>
        <v>0</v>
      </c>
      <c r="E15" s="68" t="s">
        <v>68</v>
      </c>
    </row>
    <row r="16" spans="1:5" x14ac:dyDescent="0.35">
      <c r="A16" s="17" t="s">
        <v>51</v>
      </c>
      <c r="B16" s="18">
        <f>Revenue!E13</f>
        <v>0</v>
      </c>
      <c r="C16" s="18">
        <f>C14*C15</f>
        <v>0</v>
      </c>
      <c r="D16" s="18">
        <f>D14*D15</f>
        <v>0</v>
      </c>
      <c r="E16" s="18">
        <f t="shared" ref="E16:E22" si="0">SUM(B16:D16)</f>
        <v>0</v>
      </c>
    </row>
    <row r="17" spans="1:5" x14ac:dyDescent="0.35">
      <c r="A17" s="21" t="s">
        <v>52</v>
      </c>
      <c r="B17" s="22">
        <f>Revenue!F13</f>
        <v>0</v>
      </c>
      <c r="C17" s="22">
        <f>C16*0.2</f>
        <v>0</v>
      </c>
      <c r="D17" s="22">
        <f>D16*0.2</f>
        <v>0</v>
      </c>
      <c r="E17" s="22">
        <f t="shared" si="0"/>
        <v>0</v>
      </c>
    </row>
    <row r="18" spans="1:5" x14ac:dyDescent="0.35">
      <c r="A18" s="17" t="s">
        <v>53</v>
      </c>
      <c r="B18" s="18">
        <f>Revenue!G13</f>
        <v>0</v>
      </c>
      <c r="C18" s="18">
        <f>C16-C17</f>
        <v>0</v>
      </c>
      <c r="D18" s="18">
        <f>D16-D17</f>
        <v>0</v>
      </c>
      <c r="E18" s="18">
        <f t="shared" si="0"/>
        <v>0</v>
      </c>
    </row>
    <row r="19" spans="1:5" x14ac:dyDescent="0.35">
      <c r="A19" s="21" t="s">
        <v>204</v>
      </c>
      <c r="B19" s="22">
        <f>Expenses!C5+Expenses!C6</f>
        <v>1440000</v>
      </c>
      <c r="C19" s="22">
        <f>B19*(1+C9)</f>
        <v>1584000.0000000002</v>
      </c>
      <c r="D19" s="22">
        <f>C19*(1+D9)</f>
        <v>1742400.0000000005</v>
      </c>
      <c r="E19" s="22">
        <f t="shared" si="0"/>
        <v>4766400</v>
      </c>
    </row>
    <row r="20" spans="1:5" x14ac:dyDescent="0.35">
      <c r="A20" s="17" t="s">
        <v>205</v>
      </c>
      <c r="B20" s="18">
        <f>Expenses!C7+Expenses!C8+Expenses!C9+Expenses!C11+Expenses!C12</f>
        <v>1200000</v>
      </c>
      <c r="C20" s="18">
        <f>B20*(1+C10)</f>
        <v>1260000</v>
      </c>
      <c r="D20" s="18">
        <f>C20*(1+D10)</f>
        <v>1323000</v>
      </c>
      <c r="E20" s="18">
        <f t="shared" si="0"/>
        <v>3783000</v>
      </c>
    </row>
    <row r="21" spans="1:5" x14ac:dyDescent="0.35">
      <c r="A21" s="21" t="s">
        <v>206</v>
      </c>
      <c r="B21" s="22">
        <f>Expenses!C13</f>
        <v>3510000</v>
      </c>
      <c r="C21" s="22">
        <f>C17+C19+C20</f>
        <v>2844000</v>
      </c>
      <c r="D21" s="22">
        <f>D17+D19+D20</f>
        <v>3065400.0000000005</v>
      </c>
      <c r="E21" s="22">
        <f t="shared" si="0"/>
        <v>9419400</v>
      </c>
    </row>
    <row r="22" spans="1:5" x14ac:dyDescent="0.35">
      <c r="A22" s="45" t="s">
        <v>207</v>
      </c>
      <c r="B22" s="55">
        <f>'P&amp;L Summary'!B14</f>
        <v>-30000</v>
      </c>
      <c r="C22" s="55">
        <f>C18-C21</f>
        <v>-2844000</v>
      </c>
      <c r="D22" s="55">
        <f>D18-D21</f>
        <v>-3065400.0000000005</v>
      </c>
      <c r="E22" s="55">
        <f t="shared" si="0"/>
        <v>-5939400</v>
      </c>
    </row>
    <row r="23" spans="1:5" x14ac:dyDescent="0.35">
      <c r="A23" s="56" t="s">
        <v>94</v>
      </c>
      <c r="B23" s="69">
        <f>'P&amp;L Summary'!B15</f>
        <v>-8.6206896551724137E-3</v>
      </c>
      <c r="C23" s="69">
        <f>IF(C18&gt;0,C22/C18,0)</f>
        <v>0</v>
      </c>
      <c r="D23" s="69">
        <f>IF(D18&gt;0,D22/D18,0)</f>
        <v>0</v>
      </c>
      <c r="E23" s="70" t="s">
        <v>68</v>
      </c>
    </row>
  </sheetData>
  <mergeCells count="4">
    <mergeCell ref="A1:E1"/>
    <mergeCell ref="A12:E12"/>
    <mergeCell ref="A5:E5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7"/>
  <sheetViews>
    <sheetView showGridLines="0" workbookViewId="0">
      <selection sqref="A1:F1"/>
    </sheetView>
  </sheetViews>
  <sheetFormatPr defaultRowHeight="14.5" x14ac:dyDescent="0.35"/>
  <cols>
    <col min="1" max="1" width="36" customWidth="1"/>
    <col min="2" max="2" width="34" customWidth="1"/>
    <col min="3" max="3" width="22" customWidth="1"/>
    <col min="4" max="4" width="38" customWidth="1"/>
  </cols>
  <sheetData>
    <row r="1" spans="1:6" ht="28" customHeight="1" x14ac:dyDescent="0.35">
      <c r="A1" s="170" t="s">
        <v>208</v>
      </c>
      <c r="B1" s="129"/>
      <c r="C1" s="129"/>
      <c r="D1" s="129"/>
      <c r="E1" s="129"/>
      <c r="F1" s="129"/>
    </row>
    <row r="3" spans="1:6" ht="20" customHeight="1" x14ac:dyDescent="0.35">
      <c r="A3" s="128" t="s">
        <v>209</v>
      </c>
      <c r="B3" s="129"/>
      <c r="C3" s="129"/>
      <c r="D3" s="129"/>
      <c r="E3" s="129"/>
      <c r="F3" s="129"/>
    </row>
    <row r="5" spans="1:6" ht="18" customHeight="1" x14ac:dyDescent="0.35">
      <c r="A5" s="169" t="s">
        <v>210</v>
      </c>
      <c r="B5" s="131"/>
      <c r="C5" s="131"/>
      <c r="D5" s="131"/>
      <c r="E5" s="131"/>
      <c r="F5" s="127"/>
    </row>
    <row r="6" spans="1:6" ht="18" customHeight="1" x14ac:dyDescent="0.35">
      <c r="A6" s="16" t="s">
        <v>211</v>
      </c>
      <c r="B6" s="16" t="s">
        <v>212</v>
      </c>
      <c r="C6" s="16" t="s">
        <v>213</v>
      </c>
      <c r="D6" s="16" t="s">
        <v>61</v>
      </c>
    </row>
    <row r="7" spans="1:6" x14ac:dyDescent="0.35">
      <c r="A7" s="17" t="s">
        <v>214</v>
      </c>
      <c r="B7" s="71">
        <v>50000</v>
      </c>
      <c r="C7" s="72" t="s">
        <v>215</v>
      </c>
      <c r="D7" s="39" t="s">
        <v>216</v>
      </c>
    </row>
    <row r="8" spans="1:6" x14ac:dyDescent="0.35">
      <c r="A8" s="21" t="s">
        <v>217</v>
      </c>
      <c r="B8" s="73">
        <v>0.15</v>
      </c>
      <c r="C8" s="74" t="s">
        <v>218</v>
      </c>
      <c r="D8" s="40" t="s">
        <v>219</v>
      </c>
    </row>
    <row r="9" spans="1:6" x14ac:dyDescent="0.35">
      <c r="A9" s="17" t="s">
        <v>220</v>
      </c>
      <c r="B9" s="75">
        <v>60</v>
      </c>
      <c r="C9" s="72" t="s">
        <v>221</v>
      </c>
      <c r="D9" s="39" t="s">
        <v>222</v>
      </c>
    </row>
    <row r="10" spans="1:6" x14ac:dyDescent="0.35">
      <c r="A10" s="21" t="s">
        <v>223</v>
      </c>
      <c r="B10" s="54">
        <v>10000</v>
      </c>
      <c r="C10" s="74" t="s">
        <v>224</v>
      </c>
      <c r="D10" s="40" t="s">
        <v>225</v>
      </c>
    </row>
    <row r="11" spans="1:6" x14ac:dyDescent="0.35">
      <c r="A11" s="17" t="s">
        <v>226</v>
      </c>
      <c r="B11" s="75">
        <v>50</v>
      </c>
      <c r="C11" s="72" t="s">
        <v>227</v>
      </c>
      <c r="D11" s="39" t="s">
        <v>228</v>
      </c>
    </row>
    <row r="12" spans="1:6" x14ac:dyDescent="0.35">
      <c r="A12" s="21" t="s">
        <v>229</v>
      </c>
      <c r="B12" s="76">
        <v>10</v>
      </c>
      <c r="C12" s="74" t="s">
        <v>227</v>
      </c>
      <c r="D12" s="40" t="s">
        <v>230</v>
      </c>
    </row>
    <row r="14" spans="1:6" ht="18" customHeight="1" x14ac:dyDescent="0.35">
      <c r="A14" s="171" t="s">
        <v>231</v>
      </c>
      <c r="B14" s="131"/>
      <c r="C14" s="131"/>
      <c r="D14" s="131"/>
      <c r="E14" s="131"/>
      <c r="F14" s="127"/>
    </row>
    <row r="15" spans="1:6" ht="18" customHeight="1" x14ac:dyDescent="0.35">
      <c r="A15" s="16" t="s">
        <v>232</v>
      </c>
      <c r="B15" s="16" t="s">
        <v>233</v>
      </c>
      <c r="C15" s="16" t="s">
        <v>24</v>
      </c>
      <c r="D15" s="16" t="s">
        <v>61</v>
      </c>
    </row>
    <row r="16" spans="1:6" x14ac:dyDescent="0.35">
      <c r="A16" s="17" t="s">
        <v>234</v>
      </c>
      <c r="B16" s="39">
        <f>B12*B7</f>
        <v>500000</v>
      </c>
      <c r="C16" s="18">
        <f>B12*B7</f>
        <v>500000</v>
      </c>
      <c r="D16" s="39" t="s">
        <v>235</v>
      </c>
    </row>
    <row r="17" spans="1:6" x14ac:dyDescent="0.35">
      <c r="A17" s="21" t="s">
        <v>236</v>
      </c>
      <c r="B17" s="40">
        <f>B11*B9*B10*B8</f>
        <v>4500000</v>
      </c>
      <c r="C17" s="22">
        <f>B11*B9*B10*B8</f>
        <v>4500000</v>
      </c>
      <c r="D17" s="40" t="s">
        <v>237</v>
      </c>
    </row>
    <row r="18" spans="1:6" x14ac:dyDescent="0.35">
      <c r="A18" s="45" t="s">
        <v>238</v>
      </c>
      <c r="B18" s="48">
        <f>C16+C17</f>
        <v>5000000</v>
      </c>
      <c r="C18" s="55">
        <f>C16+C17</f>
        <v>5000000</v>
      </c>
      <c r="D18" s="48" t="s">
        <v>239</v>
      </c>
    </row>
    <row r="20" spans="1:6" ht="18" customHeight="1" x14ac:dyDescent="0.35">
      <c r="A20" s="169" t="s">
        <v>240</v>
      </c>
      <c r="B20" s="131"/>
      <c r="C20" s="131"/>
      <c r="D20" s="131"/>
      <c r="E20" s="131"/>
      <c r="F20" s="127"/>
    </row>
    <row r="21" spans="1:6" ht="18" customHeight="1" x14ac:dyDescent="0.35">
      <c r="A21" s="16" t="s">
        <v>241</v>
      </c>
      <c r="B21" s="16" t="s">
        <v>24</v>
      </c>
      <c r="C21" s="16" t="s">
        <v>61</v>
      </c>
    </row>
    <row r="22" spans="1:6" x14ac:dyDescent="0.35">
      <c r="A22" s="17" t="s">
        <v>242</v>
      </c>
      <c r="B22" s="18">
        <f>B9*B10</f>
        <v>600000</v>
      </c>
      <c r="C22" s="39" t="s">
        <v>243</v>
      </c>
    </row>
    <row r="23" spans="1:6" x14ac:dyDescent="0.35">
      <c r="A23" s="21" t="s">
        <v>244</v>
      </c>
      <c r="B23" s="22" t="e">
        <f>C22*B8</f>
        <v>#VALUE!</v>
      </c>
      <c r="C23" s="40" t="s">
        <v>245</v>
      </c>
    </row>
    <row r="24" spans="1:6" x14ac:dyDescent="0.35">
      <c r="A24" s="17" t="s">
        <v>246</v>
      </c>
      <c r="B24" s="18" t="e">
        <f>C22-C23</f>
        <v>#VALUE!</v>
      </c>
      <c r="C24" s="39" t="s">
        <v>247</v>
      </c>
    </row>
    <row r="25" spans="1:6" x14ac:dyDescent="0.35">
      <c r="A25" s="21" t="s">
        <v>248</v>
      </c>
      <c r="B25" s="22" t="e">
        <f>C22*0.5</f>
        <v>#VALUE!</v>
      </c>
      <c r="C25" s="40" t="s">
        <v>249</v>
      </c>
    </row>
    <row r="26" spans="1:6" x14ac:dyDescent="0.35">
      <c r="A26" s="45" t="s">
        <v>250</v>
      </c>
      <c r="B26" s="55" t="e">
        <f>C24-C25</f>
        <v>#VALUE!</v>
      </c>
      <c r="C26" s="48" t="s">
        <v>251</v>
      </c>
    </row>
    <row r="27" spans="1:6" x14ac:dyDescent="0.35">
      <c r="A27" s="56" t="s">
        <v>252</v>
      </c>
      <c r="B27" s="69" t="e">
        <f>IF(200000&gt;0,C26/200000,0)</f>
        <v>#VALUE!</v>
      </c>
      <c r="C27" s="51" t="s">
        <v>253</v>
      </c>
    </row>
  </sheetData>
  <mergeCells count="5">
    <mergeCell ref="A14:F14"/>
    <mergeCell ref="A1:F1"/>
    <mergeCell ref="A5:F5"/>
    <mergeCell ref="A3:F3"/>
    <mergeCell ref="A20:F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showGridLines="0" workbookViewId="0">
      <selection sqref="A1:H1"/>
    </sheetView>
  </sheetViews>
  <sheetFormatPr defaultRowHeight="14.5" x14ac:dyDescent="0.35"/>
  <cols>
    <col min="1" max="1" width="34" customWidth="1"/>
    <col min="2" max="2" width="14" customWidth="1"/>
    <col min="3" max="3" width="16" customWidth="1"/>
    <col min="4" max="6" width="20" customWidth="1"/>
    <col min="7" max="8" width="16" customWidth="1"/>
  </cols>
  <sheetData>
    <row r="1" spans="1:8" ht="28" customHeight="1" x14ac:dyDescent="0.35">
      <c r="A1" s="170" t="s">
        <v>254</v>
      </c>
      <c r="B1" s="129"/>
      <c r="C1" s="129"/>
      <c r="D1" s="129"/>
      <c r="E1" s="129"/>
      <c r="F1" s="129"/>
      <c r="G1" s="129"/>
      <c r="H1" s="129"/>
    </row>
    <row r="3" spans="1:8" ht="20" customHeight="1" x14ac:dyDescent="0.35">
      <c r="A3" s="128" t="s">
        <v>255</v>
      </c>
      <c r="B3" s="129"/>
      <c r="C3" s="129"/>
      <c r="D3" s="129"/>
      <c r="E3" s="129"/>
      <c r="F3" s="129"/>
      <c r="G3" s="129"/>
      <c r="H3" s="129"/>
    </row>
    <row r="4" spans="1:8" ht="18" customHeight="1" x14ac:dyDescent="0.35">
      <c r="A4" s="16" t="s">
        <v>8</v>
      </c>
      <c r="B4" s="16" t="s">
        <v>10</v>
      </c>
      <c r="C4" s="16" t="s">
        <v>9</v>
      </c>
      <c r="D4" s="16" t="s">
        <v>256</v>
      </c>
      <c r="E4" s="16" t="s">
        <v>257</v>
      </c>
      <c r="F4" s="16" t="s">
        <v>258</v>
      </c>
      <c r="G4" s="16" t="s">
        <v>259</v>
      </c>
      <c r="H4" s="16" t="s">
        <v>260</v>
      </c>
    </row>
    <row r="5" spans="1:8" x14ac:dyDescent="0.35">
      <c r="A5" s="17" t="s">
        <v>15</v>
      </c>
      <c r="B5" s="19">
        <f>Revenue!D5</f>
        <v>100</v>
      </c>
      <c r="C5" s="18">
        <f>Revenue!B5</f>
        <v>4000</v>
      </c>
      <c r="D5" s="18">
        <f t="shared" ref="D5:D10" si="0">B5*C5</f>
        <v>400000</v>
      </c>
      <c r="E5" s="77">
        <v>0</v>
      </c>
      <c r="F5" s="18">
        <f t="shared" ref="F5:F10" si="1">D5-E5</f>
        <v>400000</v>
      </c>
      <c r="G5" s="20">
        <f t="shared" ref="G5:G11" si="2">IF(D5&gt;0,E5/D5,0)</f>
        <v>0</v>
      </c>
      <c r="H5" s="78">
        <v>0</v>
      </c>
    </row>
    <row r="6" spans="1:8" x14ac:dyDescent="0.35">
      <c r="A6" s="21" t="s">
        <v>55</v>
      </c>
      <c r="B6" s="23">
        <f>Revenue!D6</f>
        <v>100</v>
      </c>
      <c r="C6" s="22">
        <f>Revenue!B6</f>
        <v>4000</v>
      </c>
      <c r="D6" s="22">
        <f t="shared" si="0"/>
        <v>400000</v>
      </c>
      <c r="E6" s="77">
        <v>0</v>
      </c>
      <c r="F6" s="22">
        <f t="shared" si="1"/>
        <v>400000</v>
      </c>
      <c r="G6" s="24">
        <f t="shared" si="2"/>
        <v>0</v>
      </c>
      <c r="H6" s="78">
        <v>0</v>
      </c>
    </row>
    <row r="7" spans="1:8" x14ac:dyDescent="0.35">
      <c r="A7" s="17" t="s">
        <v>17</v>
      </c>
      <c r="B7" s="19">
        <f>Revenue!D7</f>
        <v>50</v>
      </c>
      <c r="C7" s="18">
        <f>Revenue!B7</f>
        <v>6000</v>
      </c>
      <c r="D7" s="18">
        <f t="shared" si="0"/>
        <v>300000</v>
      </c>
      <c r="E7" s="77">
        <v>0</v>
      </c>
      <c r="F7" s="18">
        <f t="shared" si="1"/>
        <v>300000</v>
      </c>
      <c r="G7" s="20">
        <f t="shared" si="2"/>
        <v>0</v>
      </c>
      <c r="H7" s="78">
        <v>0</v>
      </c>
    </row>
    <row r="8" spans="1:8" x14ac:dyDescent="0.35">
      <c r="A8" s="21" t="s">
        <v>18</v>
      </c>
      <c r="B8" s="23">
        <f>Revenue!D8</f>
        <v>100</v>
      </c>
      <c r="C8" s="22">
        <f>Revenue!B8</f>
        <v>25000</v>
      </c>
      <c r="D8" s="22">
        <f t="shared" si="0"/>
        <v>2500000</v>
      </c>
      <c r="E8" s="77">
        <v>0</v>
      </c>
      <c r="F8" s="22">
        <f t="shared" si="1"/>
        <v>2500000</v>
      </c>
      <c r="G8" s="24">
        <f t="shared" si="2"/>
        <v>0</v>
      </c>
      <c r="H8" s="78">
        <v>0</v>
      </c>
    </row>
    <row r="9" spans="1:8" x14ac:dyDescent="0.35">
      <c r="A9" s="17" t="s">
        <v>19</v>
      </c>
      <c r="B9" s="19">
        <f>Revenue!D9</f>
        <v>50</v>
      </c>
      <c r="C9" s="18">
        <f>Revenue!B9</f>
        <v>9000</v>
      </c>
      <c r="D9" s="18">
        <f t="shared" si="0"/>
        <v>450000</v>
      </c>
      <c r="E9" s="77">
        <v>0</v>
      </c>
      <c r="F9" s="18">
        <f t="shared" si="1"/>
        <v>450000</v>
      </c>
      <c r="G9" s="20">
        <f t="shared" si="2"/>
        <v>0</v>
      </c>
      <c r="H9" s="78">
        <v>0</v>
      </c>
    </row>
    <row r="10" spans="1:8" x14ac:dyDescent="0.35">
      <c r="A10" s="21" t="s">
        <v>20</v>
      </c>
      <c r="B10" s="23">
        <f>Revenue!D10</f>
        <v>20</v>
      </c>
      <c r="C10" s="22">
        <f>Revenue!B10</f>
        <v>15000</v>
      </c>
      <c r="D10" s="22">
        <f t="shared" si="0"/>
        <v>300000</v>
      </c>
      <c r="E10" s="77">
        <v>0</v>
      </c>
      <c r="F10" s="22">
        <f t="shared" si="1"/>
        <v>300000</v>
      </c>
      <c r="G10" s="24">
        <f t="shared" si="2"/>
        <v>0</v>
      </c>
      <c r="H10" s="78">
        <v>0</v>
      </c>
    </row>
    <row r="11" spans="1:8" x14ac:dyDescent="0.35">
      <c r="A11" s="25" t="s">
        <v>21</v>
      </c>
      <c r="B11" s="26">
        <f>Revenue!D11</f>
        <v>420</v>
      </c>
      <c r="D11" s="27">
        <f>SUM(D5:D10)</f>
        <v>4350000</v>
      </c>
      <c r="E11" s="27">
        <f>SUM(E5:E10)</f>
        <v>0</v>
      </c>
      <c r="F11" s="27">
        <f>SUM(F5:F10)</f>
        <v>4350000</v>
      </c>
      <c r="G11" s="28">
        <f t="shared" si="2"/>
        <v>0</v>
      </c>
      <c r="H11" s="26">
        <f>SUM(H5:H10)</f>
        <v>0</v>
      </c>
    </row>
    <row r="13" spans="1:8" x14ac:dyDescent="0.35">
      <c r="A13" s="173" t="s">
        <v>261</v>
      </c>
      <c r="B13" s="129"/>
      <c r="C13" s="129"/>
      <c r="D13" s="129"/>
      <c r="E13" s="129"/>
      <c r="F13" s="129"/>
      <c r="G13" s="129"/>
      <c r="H13" s="129"/>
    </row>
    <row r="15" spans="1:8" x14ac:dyDescent="0.35">
      <c r="A15" s="129"/>
      <c r="B15" s="129"/>
      <c r="C15" s="129"/>
      <c r="D15" s="129"/>
      <c r="E15" s="129"/>
      <c r="F15" s="129"/>
      <c r="G15" s="129"/>
      <c r="H15" s="129"/>
    </row>
  </sheetData>
  <mergeCells count="4">
    <mergeCell ref="A15:H15"/>
    <mergeCell ref="A3:H3"/>
    <mergeCell ref="A13:H1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9"/>
  <sheetViews>
    <sheetView showGridLines="0" tabSelected="1" workbookViewId="0">
      <selection sqref="A1:G1"/>
    </sheetView>
  </sheetViews>
  <sheetFormatPr defaultRowHeight="14.5" x14ac:dyDescent="0.35"/>
  <cols>
    <col min="1" max="1" width="38" customWidth="1"/>
    <col min="2" max="2" width="22" customWidth="1"/>
    <col min="3" max="4" width="18" customWidth="1"/>
    <col min="5" max="6" width="16" customWidth="1"/>
    <col min="7" max="7" width="22" customWidth="1"/>
  </cols>
  <sheetData>
    <row r="1" spans="1:7" ht="32" customHeight="1" x14ac:dyDescent="0.35">
      <c r="A1" s="170" t="s">
        <v>262</v>
      </c>
      <c r="B1" s="129"/>
      <c r="C1" s="129"/>
      <c r="D1" s="129"/>
      <c r="E1" s="129"/>
      <c r="F1" s="129"/>
      <c r="G1" s="129"/>
    </row>
    <row r="2" spans="1:7" ht="16" customHeight="1" x14ac:dyDescent="0.35">
      <c r="A2" s="176" t="s">
        <v>263</v>
      </c>
      <c r="B2" s="129"/>
      <c r="C2" s="129"/>
      <c r="D2" s="129"/>
      <c r="E2" s="129"/>
      <c r="F2" s="129"/>
      <c r="G2" s="129"/>
    </row>
    <row r="4" spans="1:7" ht="18" customHeight="1" x14ac:dyDescent="0.35">
      <c r="A4" s="169" t="s">
        <v>264</v>
      </c>
      <c r="B4" s="131"/>
      <c r="C4" s="131"/>
      <c r="D4" s="131"/>
      <c r="E4" s="131"/>
      <c r="F4" s="131"/>
      <c r="G4" s="127"/>
    </row>
    <row r="5" spans="1:7" ht="18" customHeight="1" x14ac:dyDescent="0.35">
      <c r="A5" s="16" t="s">
        <v>265</v>
      </c>
      <c r="B5" s="16" t="s">
        <v>35</v>
      </c>
      <c r="C5" s="16" t="s">
        <v>266</v>
      </c>
      <c r="D5" s="16" t="s">
        <v>267</v>
      </c>
      <c r="E5" s="16" t="s">
        <v>268</v>
      </c>
      <c r="F5" s="16" t="s">
        <v>269</v>
      </c>
      <c r="G5" s="16" t="s">
        <v>37</v>
      </c>
    </row>
    <row r="6" spans="1:7" x14ac:dyDescent="0.35">
      <c r="A6" s="90" t="s">
        <v>270</v>
      </c>
      <c r="B6" s="78">
        <v>1000</v>
      </c>
      <c r="C6" s="91">
        <f t="shared" ref="C6:C13" si="0">IF($B$6&gt;0,B6/$B$6,0)</f>
        <v>1</v>
      </c>
      <c r="D6" s="92" t="s">
        <v>39</v>
      </c>
      <c r="E6" s="92" t="s">
        <v>39</v>
      </c>
      <c r="F6" s="93" t="s">
        <v>271</v>
      </c>
      <c r="G6" s="79" t="str">
        <f>IF(B6&gt;=1000,"✅ On Track","⚠️ Below Target")</f>
        <v>✅ On Track</v>
      </c>
    </row>
    <row r="7" spans="1:7" x14ac:dyDescent="0.35">
      <c r="A7" s="94" t="s">
        <v>272</v>
      </c>
      <c r="B7" s="78">
        <v>700</v>
      </c>
      <c r="C7" s="95">
        <f t="shared" si="0"/>
        <v>0.7</v>
      </c>
      <c r="D7" s="80">
        <f t="shared" ref="D7:D13" si="1">B6-B7</f>
        <v>300</v>
      </c>
      <c r="E7" s="95">
        <f t="shared" ref="E7:E13" si="2">IF(B6&gt;0,(B6-B7)/B6,0)</f>
        <v>0.3</v>
      </c>
      <c r="F7" s="51" t="s">
        <v>273</v>
      </c>
      <c r="G7" s="81" t="str">
        <f>IF(C7&gt;=0.7,"✅ On Track","⚠️ Below Target")</f>
        <v>✅ On Track</v>
      </c>
    </row>
    <row r="8" spans="1:7" x14ac:dyDescent="0.35">
      <c r="A8" s="96" t="s">
        <v>274</v>
      </c>
      <c r="B8" s="78">
        <v>400</v>
      </c>
      <c r="C8" s="97">
        <f t="shared" si="0"/>
        <v>0.4</v>
      </c>
      <c r="D8" s="82">
        <f t="shared" si="1"/>
        <v>300</v>
      </c>
      <c r="E8" s="97">
        <f t="shared" si="2"/>
        <v>0.42857142857142855</v>
      </c>
      <c r="F8" s="98" t="s">
        <v>275</v>
      </c>
      <c r="G8" s="83" t="str">
        <f>IF(C8&gt;=0.57,"✅ On Track","⚠️ Below Target")</f>
        <v>⚠️ Below Target</v>
      </c>
    </row>
    <row r="9" spans="1:7" x14ac:dyDescent="0.35">
      <c r="A9" s="17" t="s">
        <v>276</v>
      </c>
      <c r="B9" s="78">
        <v>200</v>
      </c>
      <c r="C9" s="20">
        <f t="shared" si="0"/>
        <v>0.2</v>
      </c>
      <c r="D9" s="19">
        <f t="shared" si="1"/>
        <v>200</v>
      </c>
      <c r="E9" s="20">
        <f t="shared" si="2"/>
        <v>0.5</v>
      </c>
      <c r="F9" s="39" t="s">
        <v>277</v>
      </c>
      <c r="G9" s="84" t="str">
        <f>IF(C9&gt;=0.5,"✅ On Track","⚠️ Below Target")</f>
        <v>⚠️ Below Target</v>
      </c>
    </row>
    <row r="10" spans="1:7" x14ac:dyDescent="0.35">
      <c r="A10" s="99" t="s">
        <v>278</v>
      </c>
      <c r="B10" s="26">
        <f>Revenue!D13</f>
        <v>0</v>
      </c>
      <c r="C10" s="100">
        <f t="shared" si="0"/>
        <v>0</v>
      </c>
      <c r="D10" s="101">
        <f t="shared" si="1"/>
        <v>200</v>
      </c>
      <c r="E10" s="100">
        <f t="shared" si="2"/>
        <v>1</v>
      </c>
      <c r="F10" s="44" t="s">
        <v>279</v>
      </c>
      <c r="G10" s="85" t="str">
        <f>IF(C10&gt;=0.75,"✅ On Track","⚠️ Below Target")</f>
        <v>⚠️ Below Target</v>
      </c>
    </row>
    <row r="11" spans="1:7" x14ac:dyDescent="0.35">
      <c r="A11" s="102" t="s">
        <v>280</v>
      </c>
      <c r="B11" s="78">
        <v>380</v>
      </c>
      <c r="C11" s="103">
        <f t="shared" si="0"/>
        <v>0.38</v>
      </c>
      <c r="D11" s="104">
        <f t="shared" si="1"/>
        <v>-380</v>
      </c>
      <c r="E11" s="103">
        <f t="shared" si="2"/>
        <v>0</v>
      </c>
      <c r="F11" s="105" t="s">
        <v>281</v>
      </c>
      <c r="G11" s="106" t="str">
        <f>IF(B11&gt;=B10,"✅ On Track","⚠️ Check Dropouts")</f>
        <v>✅ On Track</v>
      </c>
    </row>
    <row r="12" spans="1:7" x14ac:dyDescent="0.35">
      <c r="A12" s="107" t="s">
        <v>282</v>
      </c>
      <c r="B12" s="78">
        <v>350</v>
      </c>
      <c r="C12" s="108">
        <f t="shared" si="0"/>
        <v>0.35</v>
      </c>
      <c r="D12" s="86">
        <f t="shared" si="1"/>
        <v>30</v>
      </c>
      <c r="E12" s="108">
        <f t="shared" si="2"/>
        <v>7.8947368421052627E-2</v>
      </c>
      <c r="F12" s="109" t="s">
        <v>283</v>
      </c>
      <c r="G12" s="87" t="str">
        <f>IF(C12&gt;=0.9,"✅ On Track","⚠️ Below Target")</f>
        <v>⚠️ Below Target</v>
      </c>
    </row>
    <row r="13" spans="1:7" x14ac:dyDescent="0.35">
      <c r="A13" s="110" t="s">
        <v>284</v>
      </c>
      <c r="B13" s="78">
        <v>343</v>
      </c>
      <c r="C13" s="111">
        <f t="shared" si="0"/>
        <v>0.34300000000000003</v>
      </c>
      <c r="D13" s="88">
        <f t="shared" si="1"/>
        <v>7</v>
      </c>
      <c r="E13" s="111">
        <f t="shared" si="2"/>
        <v>0.02</v>
      </c>
      <c r="F13" s="48" t="s">
        <v>285</v>
      </c>
      <c r="G13" s="89" t="str">
        <f>IF(C13&gt;=0.98,"✅ On Track","⚠️ Below Target")</f>
        <v>⚠️ Below Target</v>
      </c>
    </row>
    <row r="15" spans="1:7" ht="18" customHeight="1" x14ac:dyDescent="0.35">
      <c r="A15" s="169" t="s">
        <v>286</v>
      </c>
      <c r="B15" s="131"/>
      <c r="C15" s="131"/>
      <c r="D15" s="131"/>
      <c r="E15" s="131"/>
      <c r="F15" s="131"/>
      <c r="G15" s="127"/>
    </row>
    <row r="16" spans="1:7" ht="18" customHeight="1" x14ac:dyDescent="0.35">
      <c r="A16" s="16" t="s">
        <v>8</v>
      </c>
      <c r="B16" s="16" t="s">
        <v>287</v>
      </c>
      <c r="C16" s="16" t="s">
        <v>288</v>
      </c>
      <c r="D16" s="16" t="s">
        <v>289</v>
      </c>
      <c r="E16" s="16" t="s">
        <v>290</v>
      </c>
      <c r="F16" s="16" t="s">
        <v>291</v>
      </c>
      <c r="G16" s="16" t="s">
        <v>292</v>
      </c>
    </row>
    <row r="17" spans="1:7" x14ac:dyDescent="0.35">
      <c r="A17" s="17" t="s">
        <v>15</v>
      </c>
      <c r="B17" s="75">
        <v>100</v>
      </c>
      <c r="C17" s="19">
        <f>Revenue!D5</f>
        <v>100</v>
      </c>
      <c r="D17" s="78">
        <v>95</v>
      </c>
      <c r="E17" s="78">
        <v>90</v>
      </c>
      <c r="F17" s="19">
        <f t="shared" ref="F17:F22" si="3">C17-D17</f>
        <v>5</v>
      </c>
      <c r="G17" s="20">
        <f t="shared" ref="G17:G23" si="4">IF(C17&gt;0,E17/C17,0)</f>
        <v>0.9</v>
      </c>
    </row>
    <row r="18" spans="1:7" x14ac:dyDescent="0.35">
      <c r="A18" s="21" t="s">
        <v>16</v>
      </c>
      <c r="B18" s="76">
        <v>100</v>
      </c>
      <c r="C18" s="23">
        <f>Revenue!D6</f>
        <v>100</v>
      </c>
      <c r="D18" s="78">
        <v>96</v>
      </c>
      <c r="E18" s="78">
        <v>92</v>
      </c>
      <c r="F18" s="23">
        <f t="shared" si="3"/>
        <v>4</v>
      </c>
      <c r="G18" s="24">
        <f t="shared" si="4"/>
        <v>0.92</v>
      </c>
    </row>
    <row r="19" spans="1:7" x14ac:dyDescent="0.35">
      <c r="A19" s="17" t="s">
        <v>17</v>
      </c>
      <c r="B19" s="75">
        <v>50</v>
      </c>
      <c r="C19" s="19">
        <f>Revenue!D7</f>
        <v>50</v>
      </c>
      <c r="D19" s="78">
        <v>48</v>
      </c>
      <c r="E19" s="78">
        <v>46</v>
      </c>
      <c r="F19" s="19">
        <f t="shared" si="3"/>
        <v>2</v>
      </c>
      <c r="G19" s="20">
        <f t="shared" si="4"/>
        <v>0.92</v>
      </c>
    </row>
    <row r="20" spans="1:7" x14ac:dyDescent="0.35">
      <c r="A20" s="21" t="s">
        <v>18</v>
      </c>
      <c r="B20" s="76">
        <v>100</v>
      </c>
      <c r="C20" s="23">
        <f>Revenue!D8</f>
        <v>100</v>
      </c>
      <c r="D20" s="78">
        <v>98</v>
      </c>
      <c r="E20" s="78">
        <v>95</v>
      </c>
      <c r="F20" s="23">
        <f t="shared" si="3"/>
        <v>2</v>
      </c>
      <c r="G20" s="24">
        <f t="shared" si="4"/>
        <v>0.95</v>
      </c>
    </row>
    <row r="21" spans="1:7" x14ac:dyDescent="0.35">
      <c r="A21" s="17" t="s">
        <v>19</v>
      </c>
      <c r="B21" s="75">
        <v>50</v>
      </c>
      <c r="C21" s="19">
        <f>Revenue!D9</f>
        <v>50</v>
      </c>
      <c r="D21" s="78">
        <v>47</v>
      </c>
      <c r="E21" s="78">
        <v>45</v>
      </c>
      <c r="F21" s="19">
        <f t="shared" si="3"/>
        <v>3</v>
      </c>
      <c r="G21" s="20">
        <f t="shared" si="4"/>
        <v>0.9</v>
      </c>
    </row>
    <row r="22" spans="1:7" x14ac:dyDescent="0.35">
      <c r="A22" s="21" t="s">
        <v>20</v>
      </c>
      <c r="B22" s="76">
        <v>20</v>
      </c>
      <c r="C22" s="23">
        <f>Revenue!D10</f>
        <v>20</v>
      </c>
      <c r="D22" s="78">
        <v>18</v>
      </c>
      <c r="E22" s="78">
        <v>17</v>
      </c>
      <c r="F22" s="23">
        <f t="shared" si="3"/>
        <v>2</v>
      </c>
      <c r="G22" s="24">
        <f t="shared" si="4"/>
        <v>0.85</v>
      </c>
    </row>
    <row r="23" spans="1:7" x14ac:dyDescent="0.35">
      <c r="A23" s="25" t="s">
        <v>21</v>
      </c>
      <c r="B23" s="26">
        <f>SUM(B17:B22)</f>
        <v>420</v>
      </c>
      <c r="C23" s="26">
        <f>Revenue!D11</f>
        <v>420</v>
      </c>
      <c r="D23" s="26">
        <f>SUM(D17:D22)</f>
        <v>402</v>
      </c>
      <c r="E23" s="26">
        <f>SUM(E17:E22)</f>
        <v>385</v>
      </c>
      <c r="F23" s="26">
        <f>SUM(F17:F22)</f>
        <v>18</v>
      </c>
      <c r="G23" s="28">
        <f t="shared" si="4"/>
        <v>0.91666666666666663</v>
      </c>
    </row>
    <row r="24" spans="1:7" x14ac:dyDescent="0.35">
      <c r="A24" s="21"/>
      <c r="B24" s="76"/>
      <c r="C24" s="23"/>
      <c r="D24" s="78"/>
      <c r="E24" s="78"/>
      <c r="F24" s="23"/>
      <c r="G24" s="24"/>
    </row>
    <row r="25" spans="1:7" x14ac:dyDescent="0.35">
      <c r="A25" s="25"/>
      <c r="B25" s="26"/>
      <c r="C25" s="26"/>
      <c r="D25" s="26"/>
      <c r="E25" s="26"/>
      <c r="F25" s="26"/>
      <c r="G25" s="28"/>
    </row>
    <row r="27" spans="1:7" ht="18" customHeight="1" x14ac:dyDescent="0.35">
      <c r="A27" s="171" t="s">
        <v>293</v>
      </c>
      <c r="B27" s="131"/>
      <c r="C27" s="131"/>
      <c r="D27" s="131"/>
      <c r="E27" s="131"/>
      <c r="F27" s="131"/>
      <c r="G27" s="127"/>
    </row>
    <row r="28" spans="1:7" ht="18" customHeight="1" x14ac:dyDescent="0.35">
      <c r="A28" s="16" t="s">
        <v>197</v>
      </c>
      <c r="B28" s="16" t="s">
        <v>212</v>
      </c>
      <c r="C28" s="16" t="s">
        <v>294</v>
      </c>
    </row>
    <row r="29" spans="1:7" x14ac:dyDescent="0.35">
      <c r="A29" s="17" t="s">
        <v>295</v>
      </c>
      <c r="B29" s="20">
        <f>IF(B6&gt;0,B7/B6,0)</f>
        <v>0.7</v>
      </c>
      <c r="C29" s="174" t="s">
        <v>296</v>
      </c>
      <c r="D29" s="131"/>
      <c r="E29" s="131"/>
      <c r="F29" s="131"/>
      <c r="G29" s="127"/>
    </row>
    <row r="30" spans="1:7" x14ac:dyDescent="0.35">
      <c r="A30" s="21" t="s">
        <v>297</v>
      </c>
      <c r="B30" s="24">
        <f>IF(B7&gt;0,B8/B7,0)</f>
        <v>0.5714285714285714</v>
      </c>
      <c r="C30" s="175" t="s">
        <v>298</v>
      </c>
      <c r="D30" s="131"/>
      <c r="E30" s="131"/>
      <c r="F30" s="131"/>
      <c r="G30" s="127"/>
    </row>
    <row r="31" spans="1:7" x14ac:dyDescent="0.35">
      <c r="A31" s="17" t="s">
        <v>299</v>
      </c>
      <c r="B31" s="20">
        <f>IF(B8&gt;0,B9/B8,0)</f>
        <v>0.5</v>
      </c>
      <c r="C31" s="174" t="s">
        <v>300</v>
      </c>
      <c r="D31" s="131"/>
      <c r="E31" s="131"/>
      <c r="F31" s="131"/>
      <c r="G31" s="127"/>
    </row>
    <row r="32" spans="1:7" x14ac:dyDescent="0.35">
      <c r="A32" s="21" t="s">
        <v>301</v>
      </c>
      <c r="B32" s="24">
        <f>IF(B9&gt;0,B10/B9,0)</f>
        <v>0</v>
      </c>
      <c r="C32" s="175" t="s">
        <v>302</v>
      </c>
      <c r="D32" s="131"/>
      <c r="E32" s="131"/>
      <c r="F32" s="131"/>
      <c r="G32" s="127"/>
    </row>
    <row r="33" spans="1:7" x14ac:dyDescent="0.35">
      <c r="A33" s="45" t="s">
        <v>303</v>
      </c>
      <c r="B33" s="112">
        <f>IF(B6&gt;0,B10/B6,0)</f>
        <v>0</v>
      </c>
      <c r="C33" s="178" t="s">
        <v>304</v>
      </c>
      <c r="D33" s="131"/>
      <c r="E33" s="131"/>
      <c r="F33" s="131"/>
      <c r="G33" s="127"/>
    </row>
    <row r="34" spans="1:7" x14ac:dyDescent="0.35">
      <c r="A34" s="45" t="s">
        <v>305</v>
      </c>
      <c r="B34" s="112">
        <f>IF(B10&gt;0,B12/B10,0)</f>
        <v>0</v>
      </c>
      <c r="C34" s="178" t="s">
        <v>306</v>
      </c>
      <c r="D34" s="131"/>
      <c r="E34" s="131"/>
      <c r="F34" s="131"/>
      <c r="G34" s="127"/>
    </row>
    <row r="35" spans="1:7" x14ac:dyDescent="0.35">
      <c r="A35" s="17" t="s">
        <v>307</v>
      </c>
      <c r="B35" s="20">
        <f>IF(B12&gt;0,B13/B12,0)</f>
        <v>0.98</v>
      </c>
      <c r="C35" s="174" t="s">
        <v>308</v>
      </c>
      <c r="D35" s="131"/>
      <c r="E35" s="131"/>
      <c r="F35" s="131"/>
      <c r="G35" s="127"/>
    </row>
    <row r="36" spans="1:7" x14ac:dyDescent="0.35">
      <c r="A36" s="21" t="s">
        <v>309</v>
      </c>
      <c r="B36" s="22">
        <f>IF(Revenue!D13&gt;0,Expenses!C7/Revenue!D13,0)</f>
        <v>0</v>
      </c>
      <c r="C36" s="175" t="s">
        <v>310</v>
      </c>
      <c r="D36" s="131"/>
      <c r="E36" s="131"/>
      <c r="F36" s="131"/>
      <c r="G36" s="127"/>
    </row>
    <row r="37" spans="1:7" x14ac:dyDescent="0.35">
      <c r="A37" s="17" t="s">
        <v>311</v>
      </c>
      <c r="B37" s="18">
        <f>IF(B6&gt;0,Revenue!E13/B6,0)</f>
        <v>0</v>
      </c>
      <c r="C37" s="174" t="s">
        <v>312</v>
      </c>
      <c r="D37" s="131"/>
      <c r="E37" s="131"/>
      <c r="F37" s="131"/>
      <c r="G37" s="127"/>
    </row>
    <row r="39" spans="1:7" x14ac:dyDescent="0.35">
      <c r="A39" s="173" t="s">
        <v>313</v>
      </c>
      <c r="B39" s="129"/>
      <c r="C39" s="129"/>
      <c r="D39" s="129"/>
      <c r="E39" s="129"/>
      <c r="F39" s="129"/>
      <c r="G39" s="129"/>
    </row>
  </sheetData>
  <mergeCells count="15">
    <mergeCell ref="A39:G39"/>
    <mergeCell ref="C33:G33"/>
    <mergeCell ref="A4:G4"/>
    <mergeCell ref="A2:G2"/>
    <mergeCell ref="C37:G37"/>
    <mergeCell ref="A15:G15"/>
    <mergeCell ref="C31:G31"/>
    <mergeCell ref="C36:G36"/>
    <mergeCell ref="C29:G29"/>
    <mergeCell ref="C30:G30"/>
    <mergeCell ref="C35:G35"/>
    <mergeCell ref="A1:G1"/>
    <mergeCell ref="C34:G34"/>
    <mergeCell ref="A27:G27"/>
    <mergeCell ref="C32:G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Revenue</vt:lpstr>
      <vt:lpstr>Expenses</vt:lpstr>
      <vt:lpstr>P&amp;L Summary</vt:lpstr>
      <vt:lpstr>Staff &amp; Salaries</vt:lpstr>
      <vt:lpstr>Course Profitability</vt:lpstr>
      <vt:lpstr>Monthly Cash Flow</vt:lpstr>
      <vt:lpstr>Break-Even Analysis</vt:lpstr>
      <vt:lpstr>3-Year Projection</vt:lpstr>
      <vt:lpstr>Franchise Model</vt:lpstr>
      <vt:lpstr>Fee Collection Tracker</vt:lpstr>
      <vt:lpstr>Enrollment Funnel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Mohammed</cp:lastModifiedBy>
  <dcterms:created xsi:type="dcterms:W3CDTF">2026-03-08T19:11:24Z</dcterms:created>
  <dcterms:modified xsi:type="dcterms:W3CDTF">2026-03-08T19:52:45Z</dcterms:modified>
</cp:coreProperties>
</file>